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ngv\Downloads\"/>
    </mc:Choice>
  </mc:AlternateContent>
  <xr:revisionPtr revIDLastSave="0" documentId="8_{81C159E9-9358-4167-AF6B-E39FEBC574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1" r:id="rId1"/>
    <sheet name="Roadmap" sheetId="2" r:id="rId2"/>
    <sheet name="LeetCode" sheetId="3" r:id="rId3"/>
    <sheet name="NhatKy" sheetId="4" r:id="rId4"/>
    <sheet name="Slide" sheetId="5" r:id="rId5"/>
    <sheet name="Cpp_vs_Java" sheetId="6" r:id="rId6"/>
    <sheet name="HuongDan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4" l="1"/>
  <c r="E104" i="4"/>
  <c r="C104" i="4"/>
  <c r="B104" i="4"/>
  <c r="F104" i="4" s="1"/>
  <c r="J103" i="4"/>
  <c r="E103" i="4"/>
  <c r="C103" i="4"/>
  <c r="B103" i="4"/>
  <c r="F103" i="4" s="1"/>
  <c r="G40" i="1" s="1"/>
  <c r="J102" i="4"/>
  <c r="E102" i="4"/>
  <c r="C102" i="4"/>
  <c r="B102" i="4"/>
  <c r="F102" i="4" s="1"/>
  <c r="J101" i="4"/>
  <c r="E101" i="4"/>
  <c r="C101" i="4"/>
  <c r="B101" i="4"/>
  <c r="F101" i="4" s="1"/>
  <c r="J100" i="4"/>
  <c r="E100" i="4"/>
  <c r="C100" i="4"/>
  <c r="B100" i="4"/>
  <c r="F100" i="4" s="1"/>
  <c r="J99" i="4"/>
  <c r="E99" i="4"/>
  <c r="C99" i="4"/>
  <c r="B99" i="4"/>
  <c r="F99" i="4" s="1"/>
  <c r="J98" i="4"/>
  <c r="E98" i="4"/>
  <c r="C98" i="4"/>
  <c r="B98" i="4"/>
  <c r="F98" i="4" s="1"/>
  <c r="J97" i="4"/>
  <c r="E97" i="4"/>
  <c r="C97" i="4"/>
  <c r="B97" i="4"/>
  <c r="F97" i="4" s="1"/>
  <c r="J96" i="4"/>
  <c r="E96" i="4"/>
  <c r="C96" i="4"/>
  <c r="B96" i="4"/>
  <c r="F96" i="4" s="1"/>
  <c r="G39" i="1" s="1"/>
  <c r="J95" i="4"/>
  <c r="E95" i="4"/>
  <c r="C95" i="4"/>
  <c r="B95" i="4"/>
  <c r="F95" i="4" s="1"/>
  <c r="J94" i="4"/>
  <c r="E94" i="4"/>
  <c r="C94" i="4"/>
  <c r="B94" i="4"/>
  <c r="F94" i="4" s="1"/>
  <c r="J93" i="4"/>
  <c r="E93" i="4"/>
  <c r="C93" i="4"/>
  <c r="B93" i="4"/>
  <c r="F93" i="4" s="1"/>
  <c r="J92" i="4"/>
  <c r="E92" i="4"/>
  <c r="C92" i="4"/>
  <c r="B92" i="4"/>
  <c r="F92" i="4" s="1"/>
  <c r="J91" i="4"/>
  <c r="E91" i="4"/>
  <c r="C91" i="4"/>
  <c r="B91" i="4"/>
  <c r="F91" i="4" s="1"/>
  <c r="J90" i="4"/>
  <c r="E90" i="4"/>
  <c r="C90" i="4"/>
  <c r="B90" i="4"/>
  <c r="F90" i="4" s="1"/>
  <c r="J89" i="4"/>
  <c r="E89" i="4"/>
  <c r="C89" i="4"/>
  <c r="B89" i="4"/>
  <c r="F89" i="4" s="1"/>
  <c r="G38" i="1" s="1"/>
  <c r="J88" i="4"/>
  <c r="E88" i="4"/>
  <c r="C88" i="4"/>
  <c r="B88" i="4"/>
  <c r="F88" i="4" s="1"/>
  <c r="J87" i="4"/>
  <c r="E87" i="4"/>
  <c r="C87" i="4"/>
  <c r="B87" i="4"/>
  <c r="F87" i="4" s="1"/>
  <c r="J86" i="4"/>
  <c r="E86" i="4"/>
  <c r="C86" i="4"/>
  <c r="B86" i="4"/>
  <c r="F86" i="4" s="1"/>
  <c r="J85" i="4"/>
  <c r="E85" i="4"/>
  <c r="C85" i="4"/>
  <c r="B85" i="4"/>
  <c r="F85" i="4" s="1"/>
  <c r="J84" i="4"/>
  <c r="E84" i="4"/>
  <c r="C84" i="4"/>
  <c r="B84" i="4"/>
  <c r="F84" i="4" s="1"/>
  <c r="J83" i="4"/>
  <c r="E83" i="4"/>
  <c r="C83" i="4"/>
  <c r="B83" i="4"/>
  <c r="F83" i="4" s="1"/>
  <c r="J82" i="4"/>
  <c r="E82" i="4"/>
  <c r="C82" i="4"/>
  <c r="B82" i="4"/>
  <c r="F82" i="4" s="1"/>
  <c r="G37" i="1" s="1"/>
  <c r="J81" i="4"/>
  <c r="E81" i="4"/>
  <c r="C81" i="4"/>
  <c r="B81" i="4"/>
  <c r="F81" i="4" s="1"/>
  <c r="J80" i="4"/>
  <c r="E80" i="4"/>
  <c r="C80" i="4"/>
  <c r="B80" i="4"/>
  <c r="F80" i="4" s="1"/>
  <c r="J79" i="4"/>
  <c r="E79" i="4"/>
  <c r="C79" i="4"/>
  <c r="B79" i="4"/>
  <c r="F79" i="4" s="1"/>
  <c r="J78" i="4"/>
  <c r="E78" i="4"/>
  <c r="C78" i="4"/>
  <c r="B78" i="4"/>
  <c r="F78" i="4" s="1"/>
  <c r="J77" i="4"/>
  <c r="E77" i="4"/>
  <c r="C77" i="4"/>
  <c r="B77" i="4"/>
  <c r="F77" i="4" s="1"/>
  <c r="J76" i="4"/>
  <c r="E76" i="4"/>
  <c r="C76" i="4"/>
  <c r="B76" i="4"/>
  <c r="F76" i="4" s="1"/>
  <c r="J75" i="4"/>
  <c r="E75" i="4"/>
  <c r="C75" i="4"/>
  <c r="B75" i="4"/>
  <c r="F75" i="4" s="1"/>
  <c r="G36" i="1" s="1"/>
  <c r="J74" i="4"/>
  <c r="E74" i="4"/>
  <c r="C74" i="4"/>
  <c r="B74" i="4"/>
  <c r="F74" i="4" s="1"/>
  <c r="J73" i="4"/>
  <c r="E73" i="4"/>
  <c r="C73" i="4"/>
  <c r="B73" i="4"/>
  <c r="F73" i="4" s="1"/>
  <c r="J72" i="4"/>
  <c r="E72" i="4"/>
  <c r="C72" i="4"/>
  <c r="B72" i="4"/>
  <c r="F72" i="4" s="1"/>
  <c r="J71" i="4"/>
  <c r="E71" i="4"/>
  <c r="C71" i="4"/>
  <c r="B71" i="4"/>
  <c r="F71" i="4" s="1"/>
  <c r="J70" i="4"/>
  <c r="E70" i="4"/>
  <c r="C70" i="4"/>
  <c r="B70" i="4"/>
  <c r="F70" i="4" s="1"/>
  <c r="J69" i="4"/>
  <c r="E69" i="4"/>
  <c r="C69" i="4"/>
  <c r="B69" i="4"/>
  <c r="F69" i="4" s="1"/>
  <c r="J68" i="4"/>
  <c r="E68" i="4"/>
  <c r="C68" i="4"/>
  <c r="B68" i="4"/>
  <c r="F68" i="4" s="1"/>
  <c r="G35" i="1" s="1"/>
  <c r="J67" i="4"/>
  <c r="E67" i="4"/>
  <c r="C67" i="4"/>
  <c r="B67" i="4"/>
  <c r="F67" i="4" s="1"/>
  <c r="J66" i="4"/>
  <c r="E66" i="4"/>
  <c r="C66" i="4"/>
  <c r="B66" i="4"/>
  <c r="F66" i="4" s="1"/>
  <c r="J65" i="4"/>
  <c r="E65" i="4"/>
  <c r="C65" i="4"/>
  <c r="B65" i="4"/>
  <c r="F65" i="4" s="1"/>
  <c r="J64" i="4"/>
  <c r="E64" i="4"/>
  <c r="C64" i="4"/>
  <c r="B64" i="4"/>
  <c r="F64" i="4" s="1"/>
  <c r="J63" i="4"/>
  <c r="E63" i="4"/>
  <c r="C63" i="4"/>
  <c r="B63" i="4"/>
  <c r="F63" i="4" s="1"/>
  <c r="J62" i="4"/>
  <c r="E62" i="4"/>
  <c r="C62" i="4"/>
  <c r="B62" i="4"/>
  <c r="F62" i="4" s="1"/>
  <c r="J61" i="4"/>
  <c r="E61" i="4"/>
  <c r="C61" i="4"/>
  <c r="B61" i="4"/>
  <c r="F61" i="4" s="1"/>
  <c r="J60" i="4"/>
  <c r="E60" i="4"/>
  <c r="C60" i="4"/>
  <c r="B60" i="4"/>
  <c r="F60" i="4" s="1"/>
  <c r="J59" i="4"/>
  <c r="E59" i="4"/>
  <c r="C59" i="4"/>
  <c r="B59" i="4"/>
  <c r="F59" i="4" s="1"/>
  <c r="J58" i="4"/>
  <c r="E58" i="4"/>
  <c r="C58" i="4"/>
  <c r="B58" i="4"/>
  <c r="F58" i="4" s="1"/>
  <c r="J57" i="4"/>
  <c r="E57" i="4"/>
  <c r="C57" i="4"/>
  <c r="B57" i="4"/>
  <c r="F57" i="4" s="1"/>
  <c r="J56" i="4"/>
  <c r="E56" i="4"/>
  <c r="C56" i="4"/>
  <c r="B56" i="4"/>
  <c r="F56" i="4" s="1"/>
  <c r="J55" i="4"/>
  <c r="E55" i="4"/>
  <c r="C55" i="4"/>
  <c r="B55" i="4"/>
  <c r="F55" i="4" s="1"/>
  <c r="J54" i="4"/>
  <c r="E54" i="4"/>
  <c r="C54" i="4"/>
  <c r="B54" i="4"/>
  <c r="F54" i="4" s="1"/>
  <c r="G33" i="1" s="1"/>
  <c r="J53" i="4"/>
  <c r="E53" i="4"/>
  <c r="C53" i="4"/>
  <c r="B53" i="4"/>
  <c r="F53" i="4" s="1"/>
  <c r="J52" i="4"/>
  <c r="E52" i="4"/>
  <c r="C52" i="4"/>
  <c r="B52" i="4"/>
  <c r="F52" i="4" s="1"/>
  <c r="J51" i="4"/>
  <c r="E51" i="4"/>
  <c r="C51" i="4"/>
  <c r="B51" i="4"/>
  <c r="F51" i="4" s="1"/>
  <c r="J50" i="4"/>
  <c r="E50" i="4"/>
  <c r="C50" i="4"/>
  <c r="B50" i="4"/>
  <c r="F50" i="4" s="1"/>
  <c r="J49" i="4"/>
  <c r="E49" i="4"/>
  <c r="C49" i="4"/>
  <c r="B49" i="4"/>
  <c r="F49" i="4" s="1"/>
  <c r="J48" i="4"/>
  <c r="E48" i="4"/>
  <c r="C48" i="4"/>
  <c r="B48" i="4"/>
  <c r="F48" i="4" s="1"/>
  <c r="J47" i="4"/>
  <c r="E47" i="4"/>
  <c r="C47" i="4"/>
  <c r="B47" i="4"/>
  <c r="F47" i="4" s="1"/>
  <c r="G32" i="1" s="1"/>
  <c r="J46" i="4"/>
  <c r="E46" i="4"/>
  <c r="C46" i="4"/>
  <c r="B46" i="4"/>
  <c r="F46" i="4" s="1"/>
  <c r="J45" i="4"/>
  <c r="E45" i="4"/>
  <c r="C45" i="4"/>
  <c r="B45" i="4"/>
  <c r="F45" i="4" s="1"/>
  <c r="J44" i="4"/>
  <c r="E44" i="4"/>
  <c r="C44" i="4"/>
  <c r="B44" i="4"/>
  <c r="F44" i="4" s="1"/>
  <c r="J43" i="4"/>
  <c r="E43" i="4"/>
  <c r="C43" i="4"/>
  <c r="B43" i="4"/>
  <c r="F43" i="4" s="1"/>
  <c r="J42" i="4"/>
  <c r="E42" i="4"/>
  <c r="C42" i="4"/>
  <c r="B42" i="4"/>
  <c r="F42" i="4" s="1"/>
  <c r="J41" i="4"/>
  <c r="E41" i="4"/>
  <c r="C41" i="4"/>
  <c r="B41" i="4"/>
  <c r="F41" i="4" s="1"/>
  <c r="J40" i="4"/>
  <c r="E40" i="4"/>
  <c r="C40" i="4"/>
  <c r="B40" i="4"/>
  <c r="F40" i="4" s="1"/>
  <c r="G31" i="1" s="1"/>
  <c r="J39" i="4"/>
  <c r="E39" i="4"/>
  <c r="C39" i="4"/>
  <c r="B39" i="4"/>
  <c r="F39" i="4" s="1"/>
  <c r="J38" i="4"/>
  <c r="E38" i="4"/>
  <c r="C38" i="4"/>
  <c r="B38" i="4"/>
  <c r="F38" i="4" s="1"/>
  <c r="J37" i="4"/>
  <c r="E37" i="4"/>
  <c r="C37" i="4"/>
  <c r="B37" i="4"/>
  <c r="F37" i="4" s="1"/>
  <c r="J36" i="4"/>
  <c r="E36" i="4"/>
  <c r="C36" i="4"/>
  <c r="B36" i="4"/>
  <c r="F36" i="4" s="1"/>
  <c r="J35" i="4"/>
  <c r="E35" i="4"/>
  <c r="C35" i="4"/>
  <c r="B35" i="4"/>
  <c r="F35" i="4" s="1"/>
  <c r="J34" i="4"/>
  <c r="E34" i="4"/>
  <c r="C34" i="4"/>
  <c r="B34" i="4"/>
  <c r="F34" i="4" s="1"/>
  <c r="J33" i="4"/>
  <c r="E33" i="4"/>
  <c r="C33" i="4"/>
  <c r="B33" i="4"/>
  <c r="F33" i="4" s="1"/>
  <c r="G30" i="1" s="1"/>
  <c r="J32" i="4"/>
  <c r="E32" i="4"/>
  <c r="C32" i="4"/>
  <c r="B32" i="4"/>
  <c r="F32" i="4" s="1"/>
  <c r="J31" i="4"/>
  <c r="E31" i="4"/>
  <c r="C31" i="4"/>
  <c r="B31" i="4"/>
  <c r="F31" i="4" s="1"/>
  <c r="J30" i="4"/>
  <c r="E30" i="4"/>
  <c r="C30" i="4"/>
  <c r="B30" i="4"/>
  <c r="F30" i="4" s="1"/>
  <c r="J29" i="4"/>
  <c r="E29" i="4"/>
  <c r="C29" i="4"/>
  <c r="B29" i="4"/>
  <c r="F29" i="4" s="1"/>
  <c r="J28" i="4"/>
  <c r="E28" i="4"/>
  <c r="C28" i="4"/>
  <c r="B28" i="4"/>
  <c r="F28" i="4" s="1"/>
  <c r="J27" i="4"/>
  <c r="E27" i="4"/>
  <c r="C27" i="4"/>
  <c r="B27" i="4"/>
  <c r="F27" i="4" s="1"/>
  <c r="J26" i="4"/>
  <c r="E26" i="4"/>
  <c r="C26" i="4"/>
  <c r="B26" i="4"/>
  <c r="F26" i="4" s="1"/>
  <c r="J25" i="4"/>
  <c r="F25" i="4"/>
  <c r="E25" i="4"/>
  <c r="C25" i="4"/>
  <c r="B25" i="4"/>
  <c r="J24" i="4"/>
  <c r="E24" i="4"/>
  <c r="C24" i="4"/>
  <c r="B24" i="4"/>
  <c r="F24" i="4" s="1"/>
  <c r="J23" i="4"/>
  <c r="E23" i="4"/>
  <c r="C23" i="4"/>
  <c r="B23" i="4"/>
  <c r="F23" i="4" s="1"/>
  <c r="J22" i="4"/>
  <c r="E22" i="4"/>
  <c r="C22" i="4"/>
  <c r="B22" i="4"/>
  <c r="F22" i="4" s="1"/>
  <c r="J21" i="4"/>
  <c r="E21" i="4"/>
  <c r="C21" i="4"/>
  <c r="B21" i="4"/>
  <c r="F21" i="4" s="1"/>
  <c r="J20" i="4"/>
  <c r="E20" i="4"/>
  <c r="C20" i="4"/>
  <c r="B20" i="4"/>
  <c r="F20" i="4" s="1"/>
  <c r="J19" i="4"/>
  <c r="E19" i="4"/>
  <c r="C19" i="4"/>
  <c r="B19" i="4"/>
  <c r="F19" i="4" s="1"/>
  <c r="J18" i="4"/>
  <c r="E18" i="4"/>
  <c r="C18" i="4"/>
  <c r="B18" i="4"/>
  <c r="F18" i="4" s="1"/>
  <c r="J17" i="4"/>
  <c r="E17" i="4"/>
  <c r="C17" i="4"/>
  <c r="B17" i="4"/>
  <c r="F17" i="4" s="1"/>
  <c r="J16" i="4"/>
  <c r="E16" i="4"/>
  <c r="C16" i="4"/>
  <c r="B16" i="4"/>
  <c r="F16" i="4" s="1"/>
  <c r="J15" i="4"/>
  <c r="E15" i="4"/>
  <c r="C15" i="4"/>
  <c r="B15" i="4"/>
  <c r="F15" i="4" s="1"/>
  <c r="J14" i="4"/>
  <c r="E14" i="4"/>
  <c r="C14" i="4"/>
  <c r="B14" i="4"/>
  <c r="F14" i="4" s="1"/>
  <c r="J13" i="4"/>
  <c r="E13" i="4"/>
  <c r="C13" i="4"/>
  <c r="B13" i="4"/>
  <c r="F13" i="4" s="1"/>
  <c r="J12" i="4"/>
  <c r="E12" i="4"/>
  <c r="C12" i="4"/>
  <c r="B12" i="4"/>
  <c r="F12" i="4" s="1"/>
  <c r="G27" i="1" s="1"/>
  <c r="J11" i="4"/>
  <c r="E11" i="4"/>
  <c r="C11" i="4"/>
  <c r="B11" i="4"/>
  <c r="F11" i="4" s="1"/>
  <c r="J10" i="4"/>
  <c r="E10" i="4"/>
  <c r="C10" i="4"/>
  <c r="B10" i="4"/>
  <c r="F10" i="4" s="1"/>
  <c r="J9" i="4"/>
  <c r="E9" i="4"/>
  <c r="C9" i="4"/>
  <c r="B9" i="4"/>
  <c r="F9" i="4" s="1"/>
  <c r="J8" i="4"/>
  <c r="E8" i="4"/>
  <c r="C8" i="4"/>
  <c r="B8" i="4"/>
  <c r="F8" i="4" s="1"/>
  <c r="J7" i="4"/>
  <c r="E7" i="4"/>
  <c r="C7" i="4"/>
  <c r="B7" i="4"/>
  <c r="F7" i="4" s="1"/>
  <c r="J6" i="4"/>
  <c r="E6" i="4"/>
  <c r="C6" i="4"/>
  <c r="B6" i="4"/>
  <c r="F6" i="4" s="1"/>
  <c r="J5" i="4"/>
  <c r="E5" i="4"/>
  <c r="C5" i="4"/>
  <c r="B5" i="4"/>
  <c r="F5" i="4" s="1"/>
  <c r="G26" i="1" s="1"/>
  <c r="Q342" i="3"/>
  <c r="P342" i="3"/>
  <c r="O342" i="3"/>
  <c r="N342" i="3"/>
  <c r="Q341" i="3"/>
  <c r="P341" i="3"/>
  <c r="O341" i="3"/>
  <c r="N341" i="3"/>
  <c r="Q340" i="3"/>
  <c r="P340" i="3"/>
  <c r="O340" i="3"/>
  <c r="N340" i="3"/>
  <c r="Q339" i="3"/>
  <c r="P339" i="3"/>
  <c r="O339" i="3"/>
  <c r="N339" i="3"/>
  <c r="Q338" i="3"/>
  <c r="P338" i="3"/>
  <c r="O338" i="3"/>
  <c r="N338" i="3"/>
  <c r="Q337" i="3"/>
  <c r="P337" i="3"/>
  <c r="O337" i="3"/>
  <c r="N337" i="3"/>
  <c r="Q336" i="3"/>
  <c r="P336" i="3"/>
  <c r="O336" i="3"/>
  <c r="N336" i="3"/>
  <c r="Q335" i="3"/>
  <c r="P335" i="3"/>
  <c r="O335" i="3"/>
  <c r="N335" i="3"/>
  <c r="Q334" i="3"/>
  <c r="P334" i="3"/>
  <c r="O334" i="3"/>
  <c r="N334" i="3"/>
  <c r="Q333" i="3"/>
  <c r="P333" i="3"/>
  <c r="O333" i="3"/>
  <c r="N333" i="3"/>
  <c r="Q332" i="3"/>
  <c r="P332" i="3"/>
  <c r="O332" i="3"/>
  <c r="N332" i="3"/>
  <c r="Q331" i="3"/>
  <c r="P331" i="3"/>
  <c r="O331" i="3"/>
  <c r="N331" i="3"/>
  <c r="Q330" i="3"/>
  <c r="P330" i="3"/>
  <c r="O330" i="3"/>
  <c r="N330" i="3"/>
  <c r="Q329" i="3"/>
  <c r="P329" i="3"/>
  <c r="O329" i="3"/>
  <c r="N329" i="3"/>
  <c r="Q328" i="3"/>
  <c r="P328" i="3"/>
  <c r="O328" i="3"/>
  <c r="N328" i="3"/>
  <c r="Q327" i="3"/>
  <c r="P327" i="3"/>
  <c r="O327" i="3"/>
  <c r="N327" i="3"/>
  <c r="Q326" i="3"/>
  <c r="P326" i="3"/>
  <c r="O326" i="3"/>
  <c r="N326" i="3"/>
  <c r="Q325" i="3"/>
  <c r="P325" i="3"/>
  <c r="O325" i="3"/>
  <c r="N325" i="3"/>
  <c r="Q324" i="3"/>
  <c r="P324" i="3"/>
  <c r="O324" i="3"/>
  <c r="N324" i="3"/>
  <c r="Q323" i="3"/>
  <c r="P323" i="3"/>
  <c r="O323" i="3"/>
  <c r="N323" i="3"/>
  <c r="Q322" i="3"/>
  <c r="P322" i="3"/>
  <c r="O322" i="3"/>
  <c r="N322" i="3"/>
  <c r="Q321" i="3"/>
  <c r="P321" i="3"/>
  <c r="O321" i="3"/>
  <c r="N321" i="3"/>
  <c r="Q320" i="3"/>
  <c r="P320" i="3"/>
  <c r="O320" i="3"/>
  <c r="N320" i="3"/>
  <c r="Q319" i="3"/>
  <c r="P319" i="3"/>
  <c r="O319" i="3"/>
  <c r="N319" i="3"/>
  <c r="Q318" i="3"/>
  <c r="P318" i="3"/>
  <c r="O318" i="3"/>
  <c r="N318" i="3"/>
  <c r="Q317" i="3"/>
  <c r="P317" i="3"/>
  <c r="O317" i="3"/>
  <c r="N317" i="3"/>
  <c r="Q316" i="3"/>
  <c r="P316" i="3"/>
  <c r="O316" i="3"/>
  <c r="N316" i="3"/>
  <c r="Q315" i="3"/>
  <c r="P315" i="3"/>
  <c r="O315" i="3"/>
  <c r="N315" i="3"/>
  <c r="Q314" i="3"/>
  <c r="P314" i="3"/>
  <c r="O314" i="3"/>
  <c r="N314" i="3"/>
  <c r="Q313" i="3"/>
  <c r="P313" i="3"/>
  <c r="O313" i="3"/>
  <c r="N313" i="3"/>
  <c r="Q312" i="3"/>
  <c r="P312" i="3"/>
  <c r="O312" i="3"/>
  <c r="N312" i="3"/>
  <c r="Q311" i="3"/>
  <c r="P311" i="3"/>
  <c r="O311" i="3"/>
  <c r="N311" i="3"/>
  <c r="Q310" i="3"/>
  <c r="P310" i="3"/>
  <c r="O310" i="3"/>
  <c r="N310" i="3"/>
  <c r="Q309" i="3"/>
  <c r="P309" i="3"/>
  <c r="O309" i="3"/>
  <c r="N309" i="3"/>
  <c r="Q308" i="3"/>
  <c r="P308" i="3"/>
  <c r="O308" i="3"/>
  <c r="N308" i="3"/>
  <c r="Q307" i="3"/>
  <c r="P307" i="3"/>
  <c r="O307" i="3"/>
  <c r="N307" i="3"/>
  <c r="Q306" i="3"/>
  <c r="P306" i="3"/>
  <c r="O306" i="3"/>
  <c r="N306" i="3"/>
  <c r="Q305" i="3"/>
  <c r="P305" i="3"/>
  <c r="O305" i="3"/>
  <c r="N305" i="3"/>
  <c r="Q304" i="3"/>
  <c r="P304" i="3"/>
  <c r="O304" i="3"/>
  <c r="N304" i="3"/>
  <c r="Q303" i="3"/>
  <c r="P303" i="3"/>
  <c r="O303" i="3"/>
  <c r="N303" i="3"/>
  <c r="Q302" i="3"/>
  <c r="P302" i="3"/>
  <c r="O302" i="3"/>
  <c r="N302" i="3"/>
  <c r="Q301" i="3"/>
  <c r="P301" i="3"/>
  <c r="O301" i="3"/>
  <c r="N301" i="3"/>
  <c r="Q300" i="3"/>
  <c r="P300" i="3"/>
  <c r="O300" i="3"/>
  <c r="N300" i="3"/>
  <c r="Q299" i="3"/>
  <c r="P299" i="3"/>
  <c r="O299" i="3"/>
  <c r="N299" i="3"/>
  <c r="Q298" i="3"/>
  <c r="P298" i="3"/>
  <c r="O298" i="3"/>
  <c r="N298" i="3"/>
  <c r="Q297" i="3"/>
  <c r="P297" i="3"/>
  <c r="O297" i="3"/>
  <c r="N297" i="3"/>
  <c r="Q296" i="3"/>
  <c r="P296" i="3"/>
  <c r="O296" i="3"/>
  <c r="N296" i="3"/>
  <c r="Q295" i="3"/>
  <c r="P295" i="3"/>
  <c r="O295" i="3"/>
  <c r="N295" i="3"/>
  <c r="Q294" i="3"/>
  <c r="P294" i="3"/>
  <c r="O294" i="3"/>
  <c r="N294" i="3"/>
  <c r="Q293" i="3"/>
  <c r="P293" i="3"/>
  <c r="O293" i="3"/>
  <c r="N293" i="3"/>
  <c r="Q292" i="3"/>
  <c r="P292" i="3"/>
  <c r="O292" i="3"/>
  <c r="N292" i="3"/>
  <c r="Q291" i="3"/>
  <c r="P291" i="3"/>
  <c r="O291" i="3"/>
  <c r="N291" i="3"/>
  <c r="Q290" i="3"/>
  <c r="P290" i="3"/>
  <c r="O290" i="3"/>
  <c r="N290" i="3"/>
  <c r="Q289" i="3"/>
  <c r="P289" i="3"/>
  <c r="O289" i="3"/>
  <c r="N289" i="3"/>
  <c r="Q288" i="3"/>
  <c r="P288" i="3"/>
  <c r="O288" i="3"/>
  <c r="N288" i="3"/>
  <c r="Q287" i="3"/>
  <c r="P287" i="3"/>
  <c r="O287" i="3"/>
  <c r="N287" i="3"/>
  <c r="Q286" i="3"/>
  <c r="P286" i="3"/>
  <c r="O286" i="3"/>
  <c r="N286" i="3"/>
  <c r="Q285" i="3"/>
  <c r="P285" i="3"/>
  <c r="O285" i="3"/>
  <c r="N285" i="3"/>
  <c r="Q284" i="3"/>
  <c r="P284" i="3"/>
  <c r="O284" i="3"/>
  <c r="N284" i="3"/>
  <c r="Q283" i="3"/>
  <c r="P283" i="3"/>
  <c r="O283" i="3"/>
  <c r="N283" i="3"/>
  <c r="Q282" i="3"/>
  <c r="P282" i="3"/>
  <c r="O282" i="3"/>
  <c r="N282" i="3"/>
  <c r="Q281" i="3"/>
  <c r="P281" i="3"/>
  <c r="O281" i="3"/>
  <c r="N281" i="3"/>
  <c r="Q280" i="3"/>
  <c r="P280" i="3"/>
  <c r="O280" i="3"/>
  <c r="N280" i="3"/>
  <c r="Q279" i="3"/>
  <c r="P279" i="3"/>
  <c r="O279" i="3"/>
  <c r="N279" i="3"/>
  <c r="Q278" i="3"/>
  <c r="P278" i="3"/>
  <c r="O278" i="3"/>
  <c r="N278" i="3"/>
  <c r="Q277" i="3"/>
  <c r="P277" i="3"/>
  <c r="O277" i="3"/>
  <c r="N277" i="3"/>
  <c r="Q276" i="3"/>
  <c r="P276" i="3"/>
  <c r="O276" i="3"/>
  <c r="N276" i="3"/>
  <c r="Q275" i="3"/>
  <c r="P275" i="3"/>
  <c r="O275" i="3"/>
  <c r="N275" i="3"/>
  <c r="Q274" i="3"/>
  <c r="P274" i="3"/>
  <c r="O274" i="3"/>
  <c r="N274" i="3"/>
  <c r="Q273" i="3"/>
  <c r="P273" i="3"/>
  <c r="O273" i="3"/>
  <c r="N273" i="3"/>
  <c r="Q272" i="3"/>
  <c r="P272" i="3"/>
  <c r="O272" i="3"/>
  <c r="N272" i="3"/>
  <c r="Q271" i="3"/>
  <c r="P271" i="3"/>
  <c r="O271" i="3"/>
  <c r="N271" i="3"/>
  <c r="Q270" i="3"/>
  <c r="P270" i="3"/>
  <c r="O270" i="3"/>
  <c r="N270" i="3"/>
  <c r="Q269" i="3"/>
  <c r="P269" i="3"/>
  <c r="O269" i="3"/>
  <c r="N269" i="3"/>
  <c r="Q268" i="3"/>
  <c r="P268" i="3"/>
  <c r="O268" i="3"/>
  <c r="N268" i="3"/>
  <c r="Q267" i="3"/>
  <c r="P267" i="3"/>
  <c r="O267" i="3"/>
  <c r="N267" i="3"/>
  <c r="Q266" i="3"/>
  <c r="P266" i="3"/>
  <c r="O266" i="3"/>
  <c r="N266" i="3"/>
  <c r="Q265" i="3"/>
  <c r="P265" i="3"/>
  <c r="O265" i="3"/>
  <c r="N265" i="3"/>
  <c r="Q264" i="3"/>
  <c r="P264" i="3"/>
  <c r="O264" i="3"/>
  <c r="N264" i="3"/>
  <c r="Q263" i="3"/>
  <c r="P263" i="3"/>
  <c r="O263" i="3"/>
  <c r="N263" i="3"/>
  <c r="Q262" i="3"/>
  <c r="P262" i="3"/>
  <c r="O262" i="3"/>
  <c r="N262" i="3"/>
  <c r="Q261" i="3"/>
  <c r="P261" i="3"/>
  <c r="O261" i="3"/>
  <c r="N261" i="3"/>
  <c r="Q260" i="3"/>
  <c r="P260" i="3"/>
  <c r="O260" i="3"/>
  <c r="N260" i="3"/>
  <c r="Q259" i="3"/>
  <c r="P259" i="3"/>
  <c r="O259" i="3"/>
  <c r="N259" i="3"/>
  <c r="Q258" i="3"/>
  <c r="P258" i="3"/>
  <c r="O258" i="3"/>
  <c r="N258" i="3"/>
  <c r="Q257" i="3"/>
  <c r="P257" i="3"/>
  <c r="O257" i="3"/>
  <c r="N257" i="3"/>
  <c r="Q256" i="3"/>
  <c r="P256" i="3"/>
  <c r="O256" i="3"/>
  <c r="N256" i="3"/>
  <c r="Q255" i="3"/>
  <c r="P255" i="3"/>
  <c r="O255" i="3"/>
  <c r="N255" i="3"/>
  <c r="Q254" i="3"/>
  <c r="P254" i="3"/>
  <c r="O254" i="3"/>
  <c r="N254" i="3"/>
  <c r="Q253" i="3"/>
  <c r="P253" i="3"/>
  <c r="O253" i="3"/>
  <c r="N253" i="3"/>
  <c r="Q252" i="3"/>
  <c r="P252" i="3"/>
  <c r="O252" i="3"/>
  <c r="N252" i="3"/>
  <c r="Q251" i="3"/>
  <c r="P251" i="3"/>
  <c r="O251" i="3"/>
  <c r="N251" i="3"/>
  <c r="Q250" i="3"/>
  <c r="P250" i="3"/>
  <c r="O250" i="3"/>
  <c r="N250" i="3"/>
  <c r="Q249" i="3"/>
  <c r="P249" i="3"/>
  <c r="O249" i="3"/>
  <c r="N249" i="3"/>
  <c r="Q248" i="3"/>
  <c r="P248" i="3"/>
  <c r="O248" i="3"/>
  <c r="N248" i="3"/>
  <c r="Q247" i="3"/>
  <c r="P247" i="3"/>
  <c r="O247" i="3"/>
  <c r="N247" i="3"/>
  <c r="Q246" i="3"/>
  <c r="P246" i="3"/>
  <c r="O246" i="3"/>
  <c r="N246" i="3"/>
  <c r="Q245" i="3"/>
  <c r="P245" i="3"/>
  <c r="O245" i="3"/>
  <c r="N245" i="3"/>
  <c r="Q244" i="3"/>
  <c r="P244" i="3"/>
  <c r="O244" i="3"/>
  <c r="N244" i="3"/>
  <c r="Q243" i="3"/>
  <c r="P243" i="3"/>
  <c r="O243" i="3"/>
  <c r="N243" i="3"/>
  <c r="Q242" i="3"/>
  <c r="P242" i="3"/>
  <c r="O242" i="3"/>
  <c r="N242" i="3"/>
  <c r="Q241" i="3"/>
  <c r="P241" i="3"/>
  <c r="O241" i="3"/>
  <c r="N241" i="3"/>
  <c r="Q240" i="3"/>
  <c r="P240" i="3"/>
  <c r="O240" i="3"/>
  <c r="N240" i="3"/>
  <c r="Q239" i="3"/>
  <c r="P239" i="3"/>
  <c r="O239" i="3"/>
  <c r="N239" i="3"/>
  <c r="Q238" i="3"/>
  <c r="P238" i="3"/>
  <c r="O238" i="3"/>
  <c r="N238" i="3"/>
  <c r="Q237" i="3"/>
  <c r="P237" i="3"/>
  <c r="O237" i="3"/>
  <c r="N237" i="3"/>
  <c r="Q236" i="3"/>
  <c r="P236" i="3"/>
  <c r="O236" i="3"/>
  <c r="N236" i="3"/>
  <c r="Q235" i="3"/>
  <c r="P235" i="3"/>
  <c r="O235" i="3"/>
  <c r="N235" i="3"/>
  <c r="Q234" i="3"/>
  <c r="P234" i="3"/>
  <c r="O234" i="3"/>
  <c r="N234" i="3"/>
  <c r="Q233" i="3"/>
  <c r="P233" i="3"/>
  <c r="O233" i="3"/>
  <c r="N233" i="3"/>
  <c r="Q232" i="3"/>
  <c r="P232" i="3"/>
  <c r="O232" i="3"/>
  <c r="N232" i="3"/>
  <c r="Q231" i="3"/>
  <c r="P231" i="3"/>
  <c r="O231" i="3"/>
  <c r="N231" i="3"/>
  <c r="Q230" i="3"/>
  <c r="P230" i="3"/>
  <c r="O230" i="3"/>
  <c r="N230" i="3"/>
  <c r="Q229" i="3"/>
  <c r="P229" i="3"/>
  <c r="O229" i="3"/>
  <c r="N229" i="3"/>
  <c r="Q228" i="3"/>
  <c r="P228" i="3"/>
  <c r="O228" i="3"/>
  <c r="N228" i="3"/>
  <c r="Q227" i="3"/>
  <c r="P227" i="3"/>
  <c r="O227" i="3"/>
  <c r="N227" i="3"/>
  <c r="Q226" i="3"/>
  <c r="P226" i="3"/>
  <c r="O226" i="3"/>
  <c r="N226" i="3"/>
  <c r="Q225" i="3"/>
  <c r="P225" i="3"/>
  <c r="O225" i="3"/>
  <c r="N225" i="3"/>
  <c r="Q224" i="3"/>
  <c r="P224" i="3"/>
  <c r="O224" i="3"/>
  <c r="N224" i="3"/>
  <c r="Q223" i="3"/>
  <c r="P223" i="3"/>
  <c r="O223" i="3"/>
  <c r="N223" i="3"/>
  <c r="Q222" i="3"/>
  <c r="P222" i="3"/>
  <c r="O222" i="3"/>
  <c r="N222" i="3"/>
  <c r="Q221" i="3"/>
  <c r="P221" i="3"/>
  <c r="O221" i="3"/>
  <c r="N221" i="3"/>
  <c r="Q220" i="3"/>
  <c r="P220" i="3"/>
  <c r="O220" i="3"/>
  <c r="N220" i="3"/>
  <c r="Q219" i="3"/>
  <c r="P219" i="3"/>
  <c r="O219" i="3"/>
  <c r="N219" i="3"/>
  <c r="Q218" i="3"/>
  <c r="P218" i="3"/>
  <c r="O218" i="3"/>
  <c r="N218" i="3"/>
  <c r="Q217" i="3"/>
  <c r="P217" i="3"/>
  <c r="O217" i="3"/>
  <c r="N217" i="3"/>
  <c r="Q216" i="3"/>
  <c r="P216" i="3"/>
  <c r="O216" i="3"/>
  <c r="N216" i="3"/>
  <c r="Q215" i="3"/>
  <c r="P215" i="3"/>
  <c r="O215" i="3"/>
  <c r="N215" i="3"/>
  <c r="Q214" i="3"/>
  <c r="P214" i="3"/>
  <c r="O214" i="3"/>
  <c r="N214" i="3"/>
  <c r="Q213" i="3"/>
  <c r="P213" i="3"/>
  <c r="O213" i="3"/>
  <c r="N213" i="3"/>
  <c r="Q212" i="3"/>
  <c r="P212" i="3"/>
  <c r="O212" i="3"/>
  <c r="N212" i="3"/>
  <c r="Q211" i="3"/>
  <c r="P211" i="3"/>
  <c r="O211" i="3"/>
  <c r="N211" i="3"/>
  <c r="Q210" i="3"/>
  <c r="P210" i="3"/>
  <c r="O210" i="3"/>
  <c r="N210" i="3"/>
  <c r="Q209" i="3"/>
  <c r="P209" i="3"/>
  <c r="O209" i="3"/>
  <c r="N209" i="3"/>
  <c r="Q208" i="3"/>
  <c r="P208" i="3"/>
  <c r="O208" i="3"/>
  <c r="N208" i="3"/>
  <c r="Q207" i="3"/>
  <c r="P207" i="3"/>
  <c r="O207" i="3"/>
  <c r="N207" i="3"/>
  <c r="Q206" i="3"/>
  <c r="P206" i="3"/>
  <c r="O206" i="3"/>
  <c r="N206" i="3"/>
  <c r="Q205" i="3"/>
  <c r="P205" i="3"/>
  <c r="O205" i="3"/>
  <c r="N205" i="3"/>
  <c r="Q204" i="3"/>
  <c r="P204" i="3"/>
  <c r="O204" i="3"/>
  <c r="N204" i="3"/>
  <c r="Q203" i="3"/>
  <c r="P203" i="3"/>
  <c r="O203" i="3"/>
  <c r="N203" i="3"/>
  <c r="Q202" i="3"/>
  <c r="P202" i="3"/>
  <c r="O202" i="3"/>
  <c r="N202" i="3"/>
  <c r="Q201" i="3"/>
  <c r="P201" i="3"/>
  <c r="O201" i="3"/>
  <c r="N201" i="3"/>
  <c r="Q200" i="3"/>
  <c r="P200" i="3"/>
  <c r="O200" i="3"/>
  <c r="N200" i="3"/>
  <c r="Q199" i="3"/>
  <c r="P199" i="3"/>
  <c r="O199" i="3"/>
  <c r="N199" i="3"/>
  <c r="Q198" i="3"/>
  <c r="P198" i="3"/>
  <c r="O198" i="3"/>
  <c r="N198" i="3"/>
  <c r="Q197" i="3"/>
  <c r="P197" i="3"/>
  <c r="O197" i="3"/>
  <c r="N197" i="3"/>
  <c r="Q196" i="3"/>
  <c r="P196" i="3"/>
  <c r="O196" i="3"/>
  <c r="N196" i="3"/>
  <c r="Q195" i="3"/>
  <c r="P195" i="3"/>
  <c r="O195" i="3"/>
  <c r="N195" i="3"/>
  <c r="Q194" i="3"/>
  <c r="P194" i="3"/>
  <c r="O194" i="3"/>
  <c r="N194" i="3"/>
  <c r="Q193" i="3"/>
  <c r="P193" i="3"/>
  <c r="O193" i="3"/>
  <c r="N193" i="3"/>
  <c r="Q192" i="3"/>
  <c r="P192" i="3"/>
  <c r="O192" i="3"/>
  <c r="N192" i="3"/>
  <c r="Q191" i="3"/>
  <c r="P191" i="3"/>
  <c r="O191" i="3"/>
  <c r="N191" i="3"/>
  <c r="Q190" i="3"/>
  <c r="P190" i="3"/>
  <c r="O190" i="3"/>
  <c r="N190" i="3"/>
  <c r="Q189" i="3"/>
  <c r="P189" i="3"/>
  <c r="O189" i="3"/>
  <c r="N189" i="3"/>
  <c r="Q188" i="3"/>
  <c r="P188" i="3"/>
  <c r="O188" i="3"/>
  <c r="N188" i="3"/>
  <c r="Q187" i="3"/>
  <c r="P187" i="3"/>
  <c r="O187" i="3"/>
  <c r="N187" i="3"/>
  <c r="Q186" i="3"/>
  <c r="P186" i="3"/>
  <c r="O186" i="3"/>
  <c r="N186" i="3"/>
  <c r="Q185" i="3"/>
  <c r="P185" i="3"/>
  <c r="O185" i="3"/>
  <c r="N185" i="3"/>
  <c r="Q184" i="3"/>
  <c r="P184" i="3"/>
  <c r="O184" i="3"/>
  <c r="N184" i="3"/>
  <c r="Q183" i="3"/>
  <c r="P183" i="3"/>
  <c r="O183" i="3"/>
  <c r="N183" i="3"/>
  <c r="Q182" i="3"/>
  <c r="P182" i="3"/>
  <c r="O182" i="3"/>
  <c r="N182" i="3"/>
  <c r="Q181" i="3"/>
  <c r="P181" i="3"/>
  <c r="O181" i="3"/>
  <c r="N181" i="3"/>
  <c r="Q180" i="3"/>
  <c r="P180" i="3"/>
  <c r="O180" i="3"/>
  <c r="N180" i="3"/>
  <c r="Q179" i="3"/>
  <c r="P179" i="3"/>
  <c r="O179" i="3"/>
  <c r="N179" i="3"/>
  <c r="Q178" i="3"/>
  <c r="P178" i="3"/>
  <c r="O178" i="3"/>
  <c r="N178" i="3"/>
  <c r="Q177" i="3"/>
  <c r="P177" i="3"/>
  <c r="O177" i="3"/>
  <c r="N177" i="3"/>
  <c r="Q176" i="3"/>
  <c r="P176" i="3"/>
  <c r="O176" i="3"/>
  <c r="N176" i="3"/>
  <c r="Q175" i="3"/>
  <c r="P175" i="3"/>
  <c r="O175" i="3"/>
  <c r="N175" i="3"/>
  <c r="Q174" i="3"/>
  <c r="P174" i="3"/>
  <c r="O174" i="3"/>
  <c r="N174" i="3"/>
  <c r="Q173" i="3"/>
  <c r="P173" i="3"/>
  <c r="O173" i="3"/>
  <c r="N173" i="3"/>
  <c r="Q172" i="3"/>
  <c r="P172" i="3"/>
  <c r="O172" i="3"/>
  <c r="N172" i="3"/>
  <c r="Q171" i="3"/>
  <c r="P171" i="3"/>
  <c r="O171" i="3"/>
  <c r="N171" i="3"/>
  <c r="Q170" i="3"/>
  <c r="P170" i="3"/>
  <c r="O170" i="3"/>
  <c r="N170" i="3"/>
  <c r="Q169" i="3"/>
  <c r="P169" i="3"/>
  <c r="O169" i="3"/>
  <c r="N169" i="3"/>
  <c r="Q168" i="3"/>
  <c r="P168" i="3"/>
  <c r="O168" i="3"/>
  <c r="N168" i="3"/>
  <c r="Q167" i="3"/>
  <c r="P167" i="3"/>
  <c r="O167" i="3"/>
  <c r="N167" i="3"/>
  <c r="Q166" i="3"/>
  <c r="P166" i="3"/>
  <c r="O166" i="3"/>
  <c r="N166" i="3"/>
  <c r="Q165" i="3"/>
  <c r="P165" i="3"/>
  <c r="O165" i="3"/>
  <c r="N165" i="3"/>
  <c r="Q164" i="3"/>
  <c r="P164" i="3"/>
  <c r="O164" i="3"/>
  <c r="N164" i="3"/>
  <c r="Q163" i="3"/>
  <c r="P163" i="3"/>
  <c r="O163" i="3"/>
  <c r="N163" i="3"/>
  <c r="Q162" i="3"/>
  <c r="P162" i="3"/>
  <c r="O162" i="3"/>
  <c r="N162" i="3"/>
  <c r="Q161" i="3"/>
  <c r="P161" i="3"/>
  <c r="O161" i="3"/>
  <c r="N161" i="3"/>
  <c r="Q160" i="3"/>
  <c r="P160" i="3"/>
  <c r="O160" i="3"/>
  <c r="N160" i="3"/>
  <c r="Q159" i="3"/>
  <c r="P159" i="3"/>
  <c r="O159" i="3"/>
  <c r="N159" i="3"/>
  <c r="Q158" i="3"/>
  <c r="P158" i="3"/>
  <c r="O158" i="3"/>
  <c r="N158" i="3"/>
  <c r="Q157" i="3"/>
  <c r="P157" i="3"/>
  <c r="O157" i="3"/>
  <c r="N157" i="3"/>
  <c r="Q156" i="3"/>
  <c r="P156" i="3"/>
  <c r="O156" i="3"/>
  <c r="N156" i="3"/>
  <c r="Q155" i="3"/>
  <c r="P155" i="3"/>
  <c r="O155" i="3"/>
  <c r="N155" i="3"/>
  <c r="Q154" i="3"/>
  <c r="P154" i="3"/>
  <c r="O154" i="3"/>
  <c r="N154" i="3"/>
  <c r="Q153" i="3"/>
  <c r="P153" i="3"/>
  <c r="O153" i="3"/>
  <c r="N153" i="3"/>
  <c r="Q152" i="3"/>
  <c r="P152" i="3"/>
  <c r="O152" i="3"/>
  <c r="N152" i="3"/>
  <c r="Q151" i="3"/>
  <c r="P151" i="3"/>
  <c r="O151" i="3"/>
  <c r="N151" i="3"/>
  <c r="Q150" i="3"/>
  <c r="P150" i="3"/>
  <c r="O150" i="3"/>
  <c r="N150" i="3"/>
  <c r="Q149" i="3"/>
  <c r="P149" i="3"/>
  <c r="O149" i="3"/>
  <c r="N149" i="3"/>
  <c r="Q148" i="3"/>
  <c r="P148" i="3"/>
  <c r="O148" i="3"/>
  <c r="N148" i="3"/>
  <c r="Q147" i="3"/>
  <c r="P147" i="3"/>
  <c r="O147" i="3"/>
  <c r="N147" i="3"/>
  <c r="Q146" i="3"/>
  <c r="P146" i="3"/>
  <c r="O146" i="3"/>
  <c r="N146" i="3"/>
  <c r="Q145" i="3"/>
  <c r="P145" i="3"/>
  <c r="O145" i="3"/>
  <c r="N145" i="3"/>
  <c r="Q144" i="3"/>
  <c r="P144" i="3"/>
  <c r="O144" i="3"/>
  <c r="N144" i="3"/>
  <c r="Q143" i="3"/>
  <c r="P143" i="3"/>
  <c r="O143" i="3"/>
  <c r="N143" i="3"/>
  <c r="Q142" i="3"/>
  <c r="P142" i="3"/>
  <c r="O142" i="3"/>
  <c r="N142" i="3"/>
  <c r="Q141" i="3"/>
  <c r="P141" i="3"/>
  <c r="O141" i="3"/>
  <c r="N141" i="3"/>
  <c r="Q140" i="3"/>
  <c r="P140" i="3"/>
  <c r="O140" i="3"/>
  <c r="N140" i="3"/>
  <c r="Q139" i="3"/>
  <c r="P139" i="3"/>
  <c r="O139" i="3"/>
  <c r="N139" i="3"/>
  <c r="Q138" i="3"/>
  <c r="P138" i="3"/>
  <c r="O138" i="3"/>
  <c r="N138" i="3"/>
  <c r="Q137" i="3"/>
  <c r="P137" i="3"/>
  <c r="O137" i="3"/>
  <c r="N137" i="3"/>
  <c r="Q136" i="3"/>
  <c r="P136" i="3"/>
  <c r="O136" i="3"/>
  <c r="N136" i="3"/>
  <c r="Q135" i="3"/>
  <c r="P135" i="3"/>
  <c r="O135" i="3"/>
  <c r="N135" i="3"/>
  <c r="Q134" i="3"/>
  <c r="P134" i="3"/>
  <c r="O134" i="3"/>
  <c r="N134" i="3"/>
  <c r="Q133" i="3"/>
  <c r="P133" i="3"/>
  <c r="O133" i="3"/>
  <c r="N133" i="3"/>
  <c r="Q132" i="3"/>
  <c r="P132" i="3"/>
  <c r="O132" i="3"/>
  <c r="N132" i="3"/>
  <c r="Q131" i="3"/>
  <c r="P131" i="3"/>
  <c r="O131" i="3"/>
  <c r="N131" i="3"/>
  <c r="Q130" i="3"/>
  <c r="P130" i="3"/>
  <c r="O130" i="3"/>
  <c r="N130" i="3"/>
  <c r="Q129" i="3"/>
  <c r="P129" i="3"/>
  <c r="O129" i="3"/>
  <c r="N129" i="3"/>
  <c r="Q128" i="3"/>
  <c r="P128" i="3"/>
  <c r="O128" i="3"/>
  <c r="N128" i="3"/>
  <c r="Q127" i="3"/>
  <c r="P127" i="3"/>
  <c r="O127" i="3"/>
  <c r="N127" i="3"/>
  <c r="Q126" i="3"/>
  <c r="P126" i="3"/>
  <c r="O126" i="3"/>
  <c r="N126" i="3"/>
  <c r="Q125" i="3"/>
  <c r="P125" i="3"/>
  <c r="O125" i="3"/>
  <c r="N125" i="3"/>
  <c r="Q124" i="3"/>
  <c r="P124" i="3"/>
  <c r="O124" i="3"/>
  <c r="N124" i="3"/>
  <c r="Q123" i="3"/>
  <c r="P123" i="3"/>
  <c r="O123" i="3"/>
  <c r="N123" i="3"/>
  <c r="Q122" i="3"/>
  <c r="P122" i="3"/>
  <c r="O122" i="3"/>
  <c r="N122" i="3"/>
  <c r="Q121" i="3"/>
  <c r="P121" i="3"/>
  <c r="O121" i="3"/>
  <c r="N121" i="3"/>
  <c r="Q120" i="3"/>
  <c r="P120" i="3"/>
  <c r="O120" i="3"/>
  <c r="N120" i="3"/>
  <c r="Q119" i="3"/>
  <c r="P119" i="3"/>
  <c r="O119" i="3"/>
  <c r="N119" i="3"/>
  <c r="Q118" i="3"/>
  <c r="P118" i="3"/>
  <c r="O118" i="3"/>
  <c r="N118" i="3"/>
  <c r="Q117" i="3"/>
  <c r="P117" i="3"/>
  <c r="O117" i="3"/>
  <c r="N117" i="3"/>
  <c r="Q116" i="3"/>
  <c r="P116" i="3"/>
  <c r="O116" i="3"/>
  <c r="N116" i="3"/>
  <c r="Q115" i="3"/>
  <c r="P115" i="3"/>
  <c r="O115" i="3"/>
  <c r="N115" i="3"/>
  <c r="Q114" i="3"/>
  <c r="P114" i="3"/>
  <c r="O114" i="3"/>
  <c r="N114" i="3"/>
  <c r="Q113" i="3"/>
  <c r="P113" i="3"/>
  <c r="O113" i="3"/>
  <c r="N113" i="3"/>
  <c r="Q112" i="3"/>
  <c r="P112" i="3"/>
  <c r="O112" i="3"/>
  <c r="N112" i="3"/>
  <c r="Q111" i="3"/>
  <c r="P111" i="3"/>
  <c r="O111" i="3"/>
  <c r="N111" i="3"/>
  <c r="Q110" i="3"/>
  <c r="P110" i="3"/>
  <c r="O110" i="3"/>
  <c r="N110" i="3"/>
  <c r="Q109" i="3"/>
  <c r="P109" i="3"/>
  <c r="O109" i="3"/>
  <c r="N109" i="3"/>
  <c r="Q108" i="3"/>
  <c r="P108" i="3"/>
  <c r="O108" i="3"/>
  <c r="N108" i="3"/>
  <c r="Q107" i="3"/>
  <c r="P107" i="3"/>
  <c r="O107" i="3"/>
  <c r="N107" i="3"/>
  <c r="Q106" i="3"/>
  <c r="P106" i="3"/>
  <c r="O106" i="3"/>
  <c r="N106" i="3"/>
  <c r="Q105" i="3"/>
  <c r="P105" i="3"/>
  <c r="O105" i="3"/>
  <c r="N105" i="3"/>
  <c r="Q104" i="3"/>
  <c r="P104" i="3"/>
  <c r="O104" i="3"/>
  <c r="N104" i="3"/>
  <c r="Q103" i="3"/>
  <c r="P103" i="3"/>
  <c r="O103" i="3"/>
  <c r="N103" i="3"/>
  <c r="Q102" i="3"/>
  <c r="P102" i="3"/>
  <c r="O102" i="3"/>
  <c r="N102" i="3"/>
  <c r="Q101" i="3"/>
  <c r="P101" i="3"/>
  <c r="O101" i="3"/>
  <c r="N101" i="3"/>
  <c r="Q100" i="3"/>
  <c r="P100" i="3"/>
  <c r="O100" i="3"/>
  <c r="N100" i="3"/>
  <c r="Q99" i="3"/>
  <c r="P99" i="3"/>
  <c r="O99" i="3"/>
  <c r="N99" i="3"/>
  <c r="Q98" i="3"/>
  <c r="P98" i="3"/>
  <c r="O98" i="3"/>
  <c r="N98" i="3"/>
  <c r="Q97" i="3"/>
  <c r="P97" i="3"/>
  <c r="O97" i="3"/>
  <c r="N97" i="3"/>
  <c r="Q96" i="3"/>
  <c r="P96" i="3"/>
  <c r="O96" i="3"/>
  <c r="N96" i="3"/>
  <c r="Q95" i="3"/>
  <c r="P95" i="3"/>
  <c r="O95" i="3"/>
  <c r="N95" i="3"/>
  <c r="Q94" i="3"/>
  <c r="P94" i="3"/>
  <c r="O94" i="3"/>
  <c r="N94" i="3"/>
  <c r="Q93" i="3"/>
  <c r="P93" i="3"/>
  <c r="O93" i="3"/>
  <c r="N93" i="3"/>
  <c r="Q92" i="3"/>
  <c r="P92" i="3"/>
  <c r="O92" i="3"/>
  <c r="N92" i="3"/>
  <c r="Q91" i="3"/>
  <c r="P91" i="3"/>
  <c r="O91" i="3"/>
  <c r="N91" i="3"/>
  <c r="Q90" i="3"/>
  <c r="P90" i="3"/>
  <c r="O90" i="3"/>
  <c r="N90" i="3"/>
  <c r="Q89" i="3"/>
  <c r="P89" i="3"/>
  <c r="O89" i="3"/>
  <c r="N89" i="3"/>
  <c r="Q88" i="3"/>
  <c r="P88" i="3"/>
  <c r="O88" i="3"/>
  <c r="N88" i="3"/>
  <c r="Q87" i="3"/>
  <c r="P87" i="3"/>
  <c r="O87" i="3"/>
  <c r="N87" i="3"/>
  <c r="Q86" i="3"/>
  <c r="P86" i="3"/>
  <c r="O86" i="3"/>
  <c r="N86" i="3"/>
  <c r="Q85" i="3"/>
  <c r="P85" i="3"/>
  <c r="O85" i="3"/>
  <c r="N85" i="3"/>
  <c r="Q84" i="3"/>
  <c r="P84" i="3"/>
  <c r="O84" i="3"/>
  <c r="N84" i="3"/>
  <c r="Q83" i="3"/>
  <c r="P83" i="3"/>
  <c r="O83" i="3"/>
  <c r="N83" i="3"/>
  <c r="Q82" i="3"/>
  <c r="P82" i="3"/>
  <c r="O82" i="3"/>
  <c r="N82" i="3"/>
  <c r="Q81" i="3"/>
  <c r="P81" i="3"/>
  <c r="O81" i="3"/>
  <c r="N81" i="3"/>
  <c r="Q80" i="3"/>
  <c r="P80" i="3"/>
  <c r="O80" i="3"/>
  <c r="N80" i="3"/>
  <c r="Q79" i="3"/>
  <c r="P79" i="3"/>
  <c r="O79" i="3"/>
  <c r="N79" i="3"/>
  <c r="Q78" i="3"/>
  <c r="P78" i="3"/>
  <c r="O78" i="3"/>
  <c r="N78" i="3"/>
  <c r="Q77" i="3"/>
  <c r="P77" i="3"/>
  <c r="O77" i="3"/>
  <c r="N77" i="3"/>
  <c r="Q76" i="3"/>
  <c r="P76" i="3"/>
  <c r="O76" i="3"/>
  <c r="N76" i="3"/>
  <c r="Q75" i="3"/>
  <c r="P75" i="3"/>
  <c r="O75" i="3"/>
  <c r="N75" i="3"/>
  <c r="Q74" i="3"/>
  <c r="P74" i="3"/>
  <c r="O74" i="3"/>
  <c r="N74" i="3"/>
  <c r="Q73" i="3"/>
  <c r="P73" i="3"/>
  <c r="O73" i="3"/>
  <c r="N73" i="3"/>
  <c r="Q72" i="3"/>
  <c r="P72" i="3"/>
  <c r="O72" i="3"/>
  <c r="N72" i="3"/>
  <c r="Q71" i="3"/>
  <c r="P71" i="3"/>
  <c r="O71" i="3"/>
  <c r="N71" i="3"/>
  <c r="Q70" i="3"/>
  <c r="P70" i="3"/>
  <c r="O70" i="3"/>
  <c r="N70" i="3"/>
  <c r="Q69" i="3"/>
  <c r="P69" i="3"/>
  <c r="O69" i="3"/>
  <c r="N69" i="3"/>
  <c r="Q68" i="3"/>
  <c r="P68" i="3"/>
  <c r="O68" i="3"/>
  <c r="N68" i="3"/>
  <c r="Q67" i="3"/>
  <c r="P67" i="3"/>
  <c r="O67" i="3"/>
  <c r="N67" i="3"/>
  <c r="Q66" i="3"/>
  <c r="P66" i="3"/>
  <c r="O66" i="3"/>
  <c r="N66" i="3"/>
  <c r="Q65" i="3"/>
  <c r="P65" i="3"/>
  <c r="O65" i="3"/>
  <c r="N65" i="3"/>
  <c r="Q64" i="3"/>
  <c r="P64" i="3"/>
  <c r="O64" i="3"/>
  <c r="N64" i="3"/>
  <c r="Q63" i="3"/>
  <c r="P63" i="3"/>
  <c r="O63" i="3"/>
  <c r="N63" i="3"/>
  <c r="Q62" i="3"/>
  <c r="P62" i="3"/>
  <c r="O62" i="3"/>
  <c r="N62" i="3"/>
  <c r="Q61" i="3"/>
  <c r="P61" i="3"/>
  <c r="O61" i="3"/>
  <c r="N61" i="3"/>
  <c r="Q60" i="3"/>
  <c r="P60" i="3"/>
  <c r="O60" i="3"/>
  <c r="N60" i="3"/>
  <c r="Q59" i="3"/>
  <c r="P59" i="3"/>
  <c r="O59" i="3"/>
  <c r="N59" i="3"/>
  <c r="Q58" i="3"/>
  <c r="P58" i="3"/>
  <c r="O58" i="3"/>
  <c r="N58" i="3"/>
  <c r="Q57" i="3"/>
  <c r="P57" i="3"/>
  <c r="O57" i="3"/>
  <c r="N57" i="3"/>
  <c r="Q56" i="3"/>
  <c r="P56" i="3"/>
  <c r="O56" i="3"/>
  <c r="N56" i="3"/>
  <c r="Q55" i="3"/>
  <c r="P55" i="3"/>
  <c r="O55" i="3"/>
  <c r="N55" i="3"/>
  <c r="Q54" i="3"/>
  <c r="P54" i="3"/>
  <c r="O54" i="3"/>
  <c r="N54" i="3"/>
  <c r="Q53" i="3"/>
  <c r="P53" i="3"/>
  <c r="O53" i="3"/>
  <c r="N53" i="3"/>
  <c r="Q52" i="3"/>
  <c r="P52" i="3"/>
  <c r="O52" i="3"/>
  <c r="N52" i="3"/>
  <c r="Q51" i="3"/>
  <c r="P51" i="3"/>
  <c r="O51" i="3"/>
  <c r="N51" i="3"/>
  <c r="Q50" i="3"/>
  <c r="P50" i="3"/>
  <c r="O50" i="3"/>
  <c r="N50" i="3"/>
  <c r="Q49" i="3"/>
  <c r="P49" i="3"/>
  <c r="O49" i="3"/>
  <c r="N49" i="3"/>
  <c r="Q48" i="3"/>
  <c r="P48" i="3"/>
  <c r="O48" i="3"/>
  <c r="N48" i="3"/>
  <c r="Q47" i="3"/>
  <c r="P47" i="3"/>
  <c r="O47" i="3"/>
  <c r="N47" i="3"/>
  <c r="Q46" i="3"/>
  <c r="P46" i="3"/>
  <c r="O46" i="3"/>
  <c r="N46" i="3"/>
  <c r="Q45" i="3"/>
  <c r="P45" i="3"/>
  <c r="O45" i="3"/>
  <c r="N45" i="3"/>
  <c r="Q44" i="3"/>
  <c r="P44" i="3"/>
  <c r="O44" i="3"/>
  <c r="N44" i="3"/>
  <c r="Q43" i="3"/>
  <c r="P43" i="3"/>
  <c r="O43" i="3"/>
  <c r="N43" i="3"/>
  <c r="Q42" i="3"/>
  <c r="P42" i="3"/>
  <c r="O42" i="3"/>
  <c r="N42" i="3"/>
  <c r="Q41" i="3"/>
  <c r="P41" i="3"/>
  <c r="O41" i="3"/>
  <c r="N41" i="3"/>
  <c r="Q40" i="3"/>
  <c r="P40" i="3"/>
  <c r="O40" i="3"/>
  <c r="N40" i="3"/>
  <c r="Q39" i="3"/>
  <c r="P39" i="3"/>
  <c r="O39" i="3"/>
  <c r="N39" i="3"/>
  <c r="Q38" i="3"/>
  <c r="P38" i="3"/>
  <c r="O38" i="3"/>
  <c r="N38" i="3"/>
  <c r="Q37" i="3"/>
  <c r="P37" i="3"/>
  <c r="O37" i="3"/>
  <c r="N37" i="3"/>
  <c r="Q36" i="3"/>
  <c r="P36" i="3"/>
  <c r="O36" i="3"/>
  <c r="N36" i="3"/>
  <c r="Q35" i="3"/>
  <c r="P35" i="3"/>
  <c r="O35" i="3"/>
  <c r="N35" i="3"/>
  <c r="Q34" i="3"/>
  <c r="P34" i="3"/>
  <c r="O34" i="3"/>
  <c r="N34" i="3"/>
  <c r="Q33" i="3"/>
  <c r="P33" i="3"/>
  <c r="O33" i="3"/>
  <c r="N33" i="3"/>
  <c r="Q32" i="3"/>
  <c r="P32" i="3"/>
  <c r="O32" i="3"/>
  <c r="N32" i="3"/>
  <c r="Q31" i="3"/>
  <c r="P31" i="3"/>
  <c r="O31" i="3"/>
  <c r="N31" i="3"/>
  <c r="Q30" i="3"/>
  <c r="P30" i="3"/>
  <c r="O30" i="3"/>
  <c r="N30" i="3"/>
  <c r="Q29" i="3"/>
  <c r="P29" i="3"/>
  <c r="O29" i="3"/>
  <c r="N29" i="3"/>
  <c r="Q28" i="3"/>
  <c r="P28" i="3"/>
  <c r="O28" i="3"/>
  <c r="N28" i="3"/>
  <c r="Q27" i="3"/>
  <c r="P27" i="3"/>
  <c r="O27" i="3"/>
  <c r="N27" i="3"/>
  <c r="Q26" i="3"/>
  <c r="P26" i="3"/>
  <c r="O26" i="3"/>
  <c r="N26" i="3"/>
  <c r="Q25" i="3"/>
  <c r="P25" i="3"/>
  <c r="O25" i="3"/>
  <c r="N25" i="3"/>
  <c r="Q24" i="3"/>
  <c r="P24" i="3"/>
  <c r="O24" i="3"/>
  <c r="N24" i="3"/>
  <c r="Q23" i="3"/>
  <c r="P23" i="3"/>
  <c r="O23" i="3"/>
  <c r="N23" i="3"/>
  <c r="Q22" i="3"/>
  <c r="P22" i="3"/>
  <c r="O22" i="3"/>
  <c r="N22" i="3"/>
  <c r="Q21" i="3"/>
  <c r="P21" i="3"/>
  <c r="O21" i="3"/>
  <c r="N21" i="3"/>
  <c r="Q20" i="3"/>
  <c r="P20" i="3"/>
  <c r="O20" i="3"/>
  <c r="N20" i="3"/>
  <c r="Q19" i="3"/>
  <c r="P19" i="3"/>
  <c r="O19" i="3"/>
  <c r="N19" i="3"/>
  <c r="Q18" i="3"/>
  <c r="P18" i="3"/>
  <c r="O18" i="3"/>
  <c r="N18" i="3"/>
  <c r="Q17" i="3"/>
  <c r="P17" i="3"/>
  <c r="O17" i="3"/>
  <c r="N17" i="3"/>
  <c r="Q16" i="3"/>
  <c r="P16" i="3"/>
  <c r="O16" i="3"/>
  <c r="N16" i="3"/>
  <c r="Q15" i="3"/>
  <c r="P15" i="3"/>
  <c r="O15" i="3"/>
  <c r="N15" i="3"/>
  <c r="Q14" i="3"/>
  <c r="P14" i="3"/>
  <c r="O14" i="3"/>
  <c r="N14" i="3"/>
  <c r="Q13" i="3"/>
  <c r="P13" i="3"/>
  <c r="O13" i="3"/>
  <c r="N13" i="3"/>
  <c r="Q12" i="3"/>
  <c r="P12" i="3"/>
  <c r="O12" i="3"/>
  <c r="N12" i="3"/>
  <c r="Q11" i="3"/>
  <c r="P11" i="3"/>
  <c r="O11" i="3"/>
  <c r="N11" i="3"/>
  <c r="Q10" i="3"/>
  <c r="P10" i="3"/>
  <c r="O10" i="3"/>
  <c r="N10" i="3"/>
  <c r="Q9" i="3"/>
  <c r="P9" i="3"/>
  <c r="O9" i="3"/>
  <c r="N9" i="3"/>
  <c r="Q8" i="3"/>
  <c r="P8" i="3"/>
  <c r="O8" i="3"/>
  <c r="N8" i="3"/>
  <c r="Q7" i="3"/>
  <c r="P7" i="3"/>
  <c r="O7" i="3"/>
  <c r="N7" i="3"/>
  <c r="Q6" i="3"/>
  <c r="P6" i="3"/>
  <c r="O6" i="3"/>
  <c r="N6" i="3"/>
  <c r="P5" i="3"/>
  <c r="O5" i="3"/>
  <c r="N5" i="3"/>
  <c r="Q5" i="3" s="1"/>
  <c r="R104" i="2"/>
  <c r="L104" i="2"/>
  <c r="P104" i="2" s="1"/>
  <c r="K104" i="2"/>
  <c r="B104" i="2"/>
  <c r="R103" i="2"/>
  <c r="L103" i="2"/>
  <c r="P103" i="2" s="1"/>
  <c r="K103" i="2"/>
  <c r="B103" i="2"/>
  <c r="R102" i="2"/>
  <c r="L102" i="2"/>
  <c r="P102" i="2" s="1"/>
  <c r="K102" i="2"/>
  <c r="B102" i="2"/>
  <c r="R101" i="2"/>
  <c r="L101" i="2"/>
  <c r="P101" i="2" s="1"/>
  <c r="K101" i="2"/>
  <c r="B101" i="2"/>
  <c r="R100" i="2"/>
  <c r="L100" i="2"/>
  <c r="P100" i="2" s="1"/>
  <c r="K100" i="2"/>
  <c r="B100" i="2"/>
  <c r="R99" i="2"/>
  <c r="L99" i="2"/>
  <c r="P99" i="2" s="1"/>
  <c r="K99" i="2"/>
  <c r="B99" i="2"/>
  <c r="R98" i="2"/>
  <c r="L98" i="2"/>
  <c r="P98" i="2" s="1"/>
  <c r="K98" i="2"/>
  <c r="B98" i="2"/>
  <c r="R97" i="2"/>
  <c r="L97" i="2"/>
  <c r="P97" i="2" s="1"/>
  <c r="K97" i="2"/>
  <c r="B97" i="2"/>
  <c r="R96" i="2"/>
  <c r="L96" i="2"/>
  <c r="P96" i="2" s="1"/>
  <c r="K96" i="2"/>
  <c r="B96" i="2"/>
  <c r="R95" i="2"/>
  <c r="L95" i="2"/>
  <c r="P95" i="2" s="1"/>
  <c r="K95" i="2"/>
  <c r="B95" i="2"/>
  <c r="R94" i="2"/>
  <c r="L94" i="2"/>
  <c r="P94" i="2" s="1"/>
  <c r="K94" i="2"/>
  <c r="B94" i="2"/>
  <c r="R93" i="2"/>
  <c r="L93" i="2"/>
  <c r="P93" i="2" s="1"/>
  <c r="E25" i="5" s="1"/>
  <c r="K93" i="2"/>
  <c r="B93" i="2"/>
  <c r="R92" i="2"/>
  <c r="L92" i="2"/>
  <c r="P92" i="2" s="1"/>
  <c r="E24" i="5" s="1"/>
  <c r="K92" i="2"/>
  <c r="B92" i="2"/>
  <c r="R91" i="2"/>
  <c r="L91" i="2"/>
  <c r="P91" i="2" s="1"/>
  <c r="K91" i="2"/>
  <c r="B91" i="2"/>
  <c r="R90" i="2"/>
  <c r="L90" i="2"/>
  <c r="P90" i="2" s="1"/>
  <c r="K90" i="2"/>
  <c r="B90" i="2"/>
  <c r="R89" i="2"/>
  <c r="L89" i="2"/>
  <c r="P89" i="2" s="1"/>
  <c r="K89" i="2"/>
  <c r="B89" i="2"/>
  <c r="R88" i="2"/>
  <c r="L88" i="2"/>
  <c r="P88" i="2" s="1"/>
  <c r="K88" i="2"/>
  <c r="B88" i="2"/>
  <c r="R87" i="2"/>
  <c r="L87" i="2"/>
  <c r="P87" i="2" s="1"/>
  <c r="E22" i="5" s="1"/>
  <c r="K87" i="2"/>
  <c r="B87" i="2"/>
  <c r="R86" i="2"/>
  <c r="L86" i="2"/>
  <c r="P86" i="2" s="1"/>
  <c r="E21" i="5" s="1"/>
  <c r="K86" i="2"/>
  <c r="B86" i="2"/>
  <c r="R85" i="2"/>
  <c r="L85" i="2"/>
  <c r="P85" i="2" s="1"/>
  <c r="K85" i="2"/>
  <c r="B85" i="2"/>
  <c r="R84" i="2"/>
  <c r="L84" i="2"/>
  <c r="P84" i="2" s="1"/>
  <c r="K84" i="2"/>
  <c r="B84" i="2"/>
  <c r="R83" i="2"/>
  <c r="L83" i="2"/>
  <c r="P83" i="2" s="1"/>
  <c r="K83" i="2"/>
  <c r="B83" i="2"/>
  <c r="R82" i="2"/>
  <c r="L82" i="2"/>
  <c r="P82" i="2" s="1"/>
  <c r="K82" i="2"/>
  <c r="B82" i="2"/>
  <c r="R81" i="2"/>
  <c r="L81" i="2"/>
  <c r="P81" i="2" s="1"/>
  <c r="K81" i="2"/>
  <c r="B81" i="2"/>
  <c r="R80" i="2"/>
  <c r="L80" i="2"/>
  <c r="P80" i="2" s="1"/>
  <c r="K80" i="2"/>
  <c r="B80" i="2"/>
  <c r="R79" i="2"/>
  <c r="L79" i="2"/>
  <c r="P79" i="2" s="1"/>
  <c r="K79" i="2"/>
  <c r="B79" i="2"/>
  <c r="R78" i="2"/>
  <c r="L78" i="2"/>
  <c r="P78" i="2" s="1"/>
  <c r="K78" i="2"/>
  <c r="B78" i="2"/>
  <c r="R77" i="2"/>
  <c r="L77" i="2"/>
  <c r="P77" i="2" s="1"/>
  <c r="K77" i="2"/>
  <c r="B77" i="2"/>
  <c r="R76" i="2"/>
  <c r="L76" i="2"/>
  <c r="P76" i="2" s="1"/>
  <c r="K76" i="2"/>
  <c r="B76" i="2"/>
  <c r="R75" i="2"/>
  <c r="L75" i="2"/>
  <c r="P75" i="2" s="1"/>
  <c r="K75" i="2"/>
  <c r="B75" i="2"/>
  <c r="R74" i="2"/>
  <c r="L74" i="2"/>
  <c r="P74" i="2" s="1"/>
  <c r="K74" i="2"/>
  <c r="B74" i="2"/>
  <c r="R73" i="2"/>
  <c r="L73" i="2"/>
  <c r="P73" i="2" s="1"/>
  <c r="K73" i="2"/>
  <c r="B73" i="2"/>
  <c r="R72" i="2"/>
  <c r="L72" i="2"/>
  <c r="P72" i="2" s="1"/>
  <c r="K72" i="2"/>
  <c r="B72" i="2"/>
  <c r="R71" i="2"/>
  <c r="L71" i="2"/>
  <c r="P71" i="2" s="1"/>
  <c r="K71" i="2"/>
  <c r="B71" i="2"/>
  <c r="R70" i="2"/>
  <c r="L70" i="2"/>
  <c r="P70" i="2" s="1"/>
  <c r="K70" i="2"/>
  <c r="B70" i="2"/>
  <c r="R69" i="2"/>
  <c r="L69" i="2"/>
  <c r="P69" i="2" s="1"/>
  <c r="K69" i="2"/>
  <c r="B69" i="2"/>
  <c r="R68" i="2"/>
  <c r="L68" i="2"/>
  <c r="P68" i="2" s="1"/>
  <c r="K68" i="2"/>
  <c r="B68" i="2"/>
  <c r="R67" i="2"/>
  <c r="L67" i="2"/>
  <c r="P67" i="2" s="1"/>
  <c r="K67" i="2"/>
  <c r="B67" i="2"/>
  <c r="R66" i="2"/>
  <c r="L66" i="2"/>
  <c r="P66" i="2" s="1"/>
  <c r="K66" i="2"/>
  <c r="B66" i="2"/>
  <c r="R65" i="2"/>
  <c r="L65" i="2"/>
  <c r="P65" i="2" s="1"/>
  <c r="K65" i="2"/>
  <c r="B65" i="2"/>
  <c r="R64" i="2"/>
  <c r="L64" i="2"/>
  <c r="P64" i="2" s="1"/>
  <c r="K64" i="2"/>
  <c r="B64" i="2"/>
  <c r="R63" i="2"/>
  <c r="L63" i="2"/>
  <c r="P63" i="2" s="1"/>
  <c r="K63" i="2"/>
  <c r="B63" i="2"/>
  <c r="R62" i="2"/>
  <c r="L62" i="2"/>
  <c r="P62" i="2" s="1"/>
  <c r="K62" i="2"/>
  <c r="B62" i="2"/>
  <c r="R61" i="2"/>
  <c r="L61" i="2"/>
  <c r="P61" i="2" s="1"/>
  <c r="K61" i="2"/>
  <c r="B61" i="2"/>
  <c r="R60" i="2"/>
  <c r="L60" i="2"/>
  <c r="P60" i="2" s="1"/>
  <c r="K60" i="2"/>
  <c r="B60" i="2"/>
  <c r="R59" i="2"/>
  <c r="L59" i="2"/>
  <c r="P59" i="2" s="1"/>
  <c r="K59" i="2"/>
  <c r="B59" i="2"/>
  <c r="R58" i="2"/>
  <c r="L58" i="2"/>
  <c r="P58" i="2" s="1"/>
  <c r="K58" i="2"/>
  <c r="B58" i="2"/>
  <c r="R57" i="2"/>
  <c r="L57" i="2"/>
  <c r="P57" i="2" s="1"/>
  <c r="K57" i="2"/>
  <c r="B57" i="2"/>
  <c r="R56" i="2"/>
  <c r="L56" i="2"/>
  <c r="P56" i="2" s="1"/>
  <c r="K56" i="2"/>
  <c r="B56" i="2"/>
  <c r="R55" i="2"/>
  <c r="L55" i="2"/>
  <c r="P55" i="2" s="1"/>
  <c r="K55" i="2"/>
  <c r="B55" i="2"/>
  <c r="R54" i="2"/>
  <c r="L54" i="2"/>
  <c r="P54" i="2" s="1"/>
  <c r="K54" i="2"/>
  <c r="B54" i="2"/>
  <c r="R53" i="2"/>
  <c r="L53" i="2"/>
  <c r="P53" i="2" s="1"/>
  <c r="K53" i="2"/>
  <c r="B53" i="2"/>
  <c r="R52" i="2"/>
  <c r="L52" i="2"/>
  <c r="P52" i="2" s="1"/>
  <c r="K52" i="2"/>
  <c r="B52" i="2"/>
  <c r="R51" i="2"/>
  <c r="L51" i="2"/>
  <c r="P51" i="2" s="1"/>
  <c r="K51" i="2"/>
  <c r="B51" i="2"/>
  <c r="R50" i="2"/>
  <c r="L50" i="2"/>
  <c r="P50" i="2" s="1"/>
  <c r="K50" i="2"/>
  <c r="B50" i="2"/>
  <c r="R49" i="2"/>
  <c r="L49" i="2"/>
  <c r="P49" i="2" s="1"/>
  <c r="K49" i="2"/>
  <c r="B49" i="2"/>
  <c r="R48" i="2"/>
  <c r="L48" i="2"/>
  <c r="P48" i="2" s="1"/>
  <c r="K48" i="2"/>
  <c r="B48" i="2"/>
  <c r="R47" i="2"/>
  <c r="L47" i="2"/>
  <c r="P47" i="2" s="1"/>
  <c r="E16" i="5" s="1"/>
  <c r="K47" i="2"/>
  <c r="B47" i="2"/>
  <c r="R46" i="2"/>
  <c r="L46" i="2"/>
  <c r="P46" i="2" s="1"/>
  <c r="E15" i="5" s="1"/>
  <c r="K46" i="2"/>
  <c r="B46" i="2"/>
  <c r="R45" i="2"/>
  <c r="L45" i="2"/>
  <c r="P45" i="2" s="1"/>
  <c r="E14" i="5" s="1"/>
  <c r="K45" i="2"/>
  <c r="B45" i="2"/>
  <c r="R44" i="2"/>
  <c r="L44" i="2"/>
  <c r="P44" i="2" s="1"/>
  <c r="E13" i="5" s="1"/>
  <c r="K44" i="2"/>
  <c r="B44" i="2"/>
  <c r="R43" i="2"/>
  <c r="L43" i="2"/>
  <c r="P43" i="2" s="1"/>
  <c r="K43" i="2"/>
  <c r="B43" i="2"/>
  <c r="R42" i="2"/>
  <c r="L42" i="2"/>
  <c r="P42" i="2" s="1"/>
  <c r="K42" i="2"/>
  <c r="B42" i="2"/>
  <c r="R41" i="2"/>
  <c r="L41" i="2"/>
  <c r="P41" i="2" s="1"/>
  <c r="K41" i="2"/>
  <c r="B41" i="2"/>
  <c r="R40" i="2"/>
  <c r="L40" i="2"/>
  <c r="P40" i="2" s="1"/>
  <c r="K40" i="2"/>
  <c r="B40" i="2"/>
  <c r="R39" i="2"/>
  <c r="L39" i="2"/>
  <c r="P39" i="2" s="1"/>
  <c r="K39" i="2"/>
  <c r="B39" i="2"/>
  <c r="R38" i="2"/>
  <c r="L38" i="2"/>
  <c r="P38" i="2" s="1"/>
  <c r="K38" i="2"/>
  <c r="B38" i="2"/>
  <c r="R37" i="2"/>
  <c r="L37" i="2"/>
  <c r="P37" i="2" s="1"/>
  <c r="K37" i="2"/>
  <c r="B37" i="2"/>
  <c r="R36" i="2"/>
  <c r="L36" i="2"/>
  <c r="P36" i="2" s="1"/>
  <c r="E11" i="5" s="1"/>
  <c r="K36" i="2"/>
  <c r="B36" i="2"/>
  <c r="R35" i="2"/>
  <c r="L35" i="2"/>
  <c r="P35" i="2" s="1"/>
  <c r="K35" i="2"/>
  <c r="B35" i="2"/>
  <c r="R34" i="2"/>
  <c r="L34" i="2"/>
  <c r="P34" i="2" s="1"/>
  <c r="K34" i="2"/>
  <c r="B34" i="2"/>
  <c r="R33" i="2"/>
  <c r="L33" i="2"/>
  <c r="P33" i="2" s="1"/>
  <c r="K33" i="2"/>
  <c r="B33" i="2"/>
  <c r="R32" i="2"/>
  <c r="L32" i="2"/>
  <c r="P32" i="2" s="1"/>
  <c r="K32" i="2"/>
  <c r="B32" i="2"/>
  <c r="R31" i="2"/>
  <c r="L31" i="2"/>
  <c r="P31" i="2" s="1"/>
  <c r="K31" i="2"/>
  <c r="B31" i="2"/>
  <c r="R30" i="2"/>
  <c r="L30" i="2"/>
  <c r="P30" i="2" s="1"/>
  <c r="K30" i="2"/>
  <c r="B30" i="2"/>
  <c r="R29" i="2"/>
  <c r="L29" i="2"/>
  <c r="P29" i="2" s="1"/>
  <c r="K29" i="2"/>
  <c r="B29" i="2"/>
  <c r="R28" i="2"/>
  <c r="L28" i="2"/>
  <c r="P28" i="2" s="1"/>
  <c r="K28" i="2"/>
  <c r="B28" i="2"/>
  <c r="R27" i="2"/>
  <c r="L27" i="2"/>
  <c r="P27" i="2" s="1"/>
  <c r="K27" i="2"/>
  <c r="B27" i="2"/>
  <c r="R26" i="2"/>
  <c r="L26" i="2"/>
  <c r="P26" i="2" s="1"/>
  <c r="K26" i="2"/>
  <c r="B26" i="2"/>
  <c r="R25" i="2"/>
  <c r="L25" i="2"/>
  <c r="P25" i="2" s="1"/>
  <c r="K25" i="2"/>
  <c r="B25" i="2"/>
  <c r="R24" i="2"/>
  <c r="L24" i="2"/>
  <c r="P24" i="2" s="1"/>
  <c r="K24" i="2"/>
  <c r="B24" i="2"/>
  <c r="R23" i="2"/>
  <c r="L23" i="2"/>
  <c r="P23" i="2" s="1"/>
  <c r="K23" i="2"/>
  <c r="B23" i="2"/>
  <c r="R22" i="2"/>
  <c r="L22" i="2"/>
  <c r="P22" i="2" s="1"/>
  <c r="K22" i="2"/>
  <c r="B22" i="2"/>
  <c r="R21" i="2"/>
  <c r="L21" i="2"/>
  <c r="P21" i="2" s="1"/>
  <c r="K21" i="2"/>
  <c r="B21" i="2"/>
  <c r="R20" i="2"/>
  <c r="L20" i="2"/>
  <c r="P20" i="2" s="1"/>
  <c r="K20" i="2"/>
  <c r="B20" i="2"/>
  <c r="R19" i="2"/>
  <c r="L19" i="2"/>
  <c r="P19" i="2" s="1"/>
  <c r="K19" i="2"/>
  <c r="B19" i="2"/>
  <c r="R18" i="2"/>
  <c r="L18" i="2"/>
  <c r="P18" i="2" s="1"/>
  <c r="K18" i="2"/>
  <c r="B18" i="2"/>
  <c r="R17" i="2"/>
  <c r="L17" i="2"/>
  <c r="P17" i="2" s="1"/>
  <c r="K17" i="2"/>
  <c r="B17" i="2"/>
  <c r="R16" i="2"/>
  <c r="L16" i="2"/>
  <c r="P16" i="2" s="1"/>
  <c r="K16" i="2"/>
  <c r="B16" i="2"/>
  <c r="R15" i="2"/>
  <c r="L15" i="2"/>
  <c r="P15" i="2" s="1"/>
  <c r="K15" i="2"/>
  <c r="B15" i="2"/>
  <c r="R14" i="2"/>
  <c r="L14" i="2"/>
  <c r="P14" i="2" s="1"/>
  <c r="K14" i="2"/>
  <c r="B14" i="2"/>
  <c r="R13" i="2"/>
  <c r="L13" i="2"/>
  <c r="P13" i="2" s="1"/>
  <c r="K13" i="2"/>
  <c r="B13" i="2"/>
  <c r="R12" i="2"/>
  <c r="L12" i="2"/>
  <c r="P12" i="2" s="1"/>
  <c r="K12" i="2"/>
  <c r="B12" i="2"/>
  <c r="R11" i="2"/>
  <c r="L11" i="2"/>
  <c r="P11" i="2" s="1"/>
  <c r="K11" i="2"/>
  <c r="B11" i="2"/>
  <c r="R10" i="2"/>
  <c r="L10" i="2"/>
  <c r="P10" i="2" s="1"/>
  <c r="K10" i="2"/>
  <c r="B10" i="2"/>
  <c r="R9" i="2"/>
  <c r="L9" i="2"/>
  <c r="P9" i="2" s="1"/>
  <c r="K9" i="2"/>
  <c r="B9" i="2"/>
  <c r="R8" i="2"/>
  <c r="L8" i="2"/>
  <c r="P8" i="2" s="1"/>
  <c r="K8" i="2"/>
  <c r="B8" i="2"/>
  <c r="R7" i="2"/>
  <c r="L7" i="2"/>
  <c r="P7" i="2" s="1"/>
  <c r="K7" i="2"/>
  <c r="B7" i="2"/>
  <c r="R6" i="2"/>
  <c r="L6" i="2"/>
  <c r="P6" i="2" s="1"/>
  <c r="K6" i="2"/>
  <c r="B6" i="2"/>
  <c r="R5" i="2"/>
  <c r="L5" i="2"/>
  <c r="P5" i="2" s="1"/>
  <c r="K5" i="2"/>
  <c r="B5" i="2"/>
  <c r="F40" i="1"/>
  <c r="E40" i="1"/>
  <c r="F39" i="1"/>
  <c r="E39" i="1"/>
  <c r="F38" i="1"/>
  <c r="E38" i="1"/>
  <c r="B38" i="1"/>
  <c r="F37" i="1"/>
  <c r="E37" i="1"/>
  <c r="B37" i="1"/>
  <c r="B39" i="1" s="1"/>
  <c r="F36" i="1"/>
  <c r="E36" i="1"/>
  <c r="F35" i="1"/>
  <c r="E35" i="1"/>
  <c r="F34" i="1"/>
  <c r="E34" i="1"/>
  <c r="B34" i="1"/>
  <c r="F33" i="1"/>
  <c r="E33" i="1"/>
  <c r="F32" i="1"/>
  <c r="E32" i="1"/>
  <c r="B32" i="1"/>
  <c r="F31" i="1"/>
  <c r="E31" i="1"/>
  <c r="B31" i="1"/>
  <c r="F30" i="1"/>
  <c r="E30" i="1"/>
  <c r="B30" i="1"/>
  <c r="F29" i="1"/>
  <c r="E29" i="1"/>
  <c r="F28" i="1"/>
  <c r="E28" i="1"/>
  <c r="F27" i="1"/>
  <c r="E27" i="1"/>
  <c r="F26" i="1"/>
  <c r="E26" i="1"/>
  <c r="B25" i="1"/>
  <c r="B24" i="1"/>
  <c r="F22" i="1"/>
  <c r="E22" i="1"/>
  <c r="B22" i="1"/>
  <c r="F21" i="1"/>
  <c r="E21" i="1"/>
  <c r="B21" i="1"/>
  <c r="F20" i="1"/>
  <c r="E20" i="1"/>
  <c r="I16" i="1"/>
  <c r="H16" i="1"/>
  <c r="E16" i="1"/>
  <c r="I15" i="1"/>
  <c r="H15" i="1"/>
  <c r="E15" i="1"/>
  <c r="I14" i="1"/>
  <c r="H14" i="1"/>
  <c r="E14" i="1"/>
  <c r="I13" i="1"/>
  <c r="H13" i="1"/>
  <c r="E13" i="1"/>
  <c r="I12" i="1"/>
  <c r="H12" i="1"/>
  <c r="E12" i="1"/>
  <c r="I11" i="1"/>
  <c r="H11" i="1"/>
  <c r="E11" i="1"/>
  <c r="B11" i="1"/>
  <c r="I10" i="1"/>
  <c r="H10" i="1"/>
  <c r="E10" i="1"/>
  <c r="I9" i="1"/>
  <c r="H9" i="1"/>
  <c r="E9" i="1"/>
  <c r="I8" i="1"/>
  <c r="H8" i="1"/>
  <c r="E8" i="1"/>
  <c r="B8" i="1"/>
  <c r="I7" i="1"/>
  <c r="H7" i="1"/>
  <c r="E7" i="1"/>
  <c r="I6" i="1"/>
  <c r="H6" i="1"/>
  <c r="E6" i="1"/>
  <c r="I5" i="1"/>
  <c r="H5" i="1"/>
  <c r="E5" i="1"/>
  <c r="G28" i="1" l="1"/>
  <c r="B26" i="1"/>
  <c r="J8" i="1"/>
  <c r="J11" i="1"/>
  <c r="J10" i="1"/>
  <c r="J6" i="1"/>
  <c r="J5" i="1"/>
  <c r="B23" i="1"/>
  <c r="J15" i="1"/>
  <c r="G21" i="1"/>
  <c r="J14" i="1"/>
  <c r="J13" i="1"/>
  <c r="J16" i="1"/>
  <c r="J12" i="1"/>
  <c r="G22" i="1"/>
  <c r="G20" i="1"/>
  <c r="J7" i="1"/>
  <c r="J9" i="1"/>
  <c r="E28" i="5"/>
  <c r="F16" i="1"/>
  <c r="G16" i="1" s="1"/>
  <c r="E27" i="5"/>
  <c r="F15" i="1"/>
  <c r="G15" i="1" s="1"/>
  <c r="E26" i="5"/>
  <c r="F14" i="1"/>
  <c r="G14" i="1" s="1"/>
  <c r="E23" i="5"/>
  <c r="F13" i="1"/>
  <c r="G13" i="1" s="1"/>
  <c r="F12" i="1"/>
  <c r="G12" i="1" s="1"/>
  <c r="E20" i="5"/>
  <c r="F11" i="1"/>
  <c r="G11" i="1" s="1"/>
  <c r="E19" i="5"/>
  <c r="F10" i="1"/>
  <c r="G10" i="1" s="1"/>
  <c r="E18" i="5"/>
  <c r="E17" i="5"/>
  <c r="F9" i="1"/>
  <c r="G9" i="1" s="1"/>
  <c r="E12" i="5"/>
  <c r="F8" i="1"/>
  <c r="G8" i="1" s="1"/>
  <c r="E9" i="5"/>
  <c r="E10" i="5"/>
  <c r="E6" i="5"/>
  <c r="E7" i="5"/>
  <c r="E8" i="5"/>
  <c r="F7" i="1"/>
  <c r="G7" i="1" s="1"/>
  <c r="F5" i="1"/>
  <c r="G5" i="1" s="1"/>
  <c r="B14" i="1"/>
  <c r="B18" i="1"/>
  <c r="E5" i="5"/>
  <c r="B33" i="1"/>
  <c r="B9" i="1"/>
  <c r="B10" i="1"/>
  <c r="B16" i="1"/>
  <c r="B27" i="1" s="1"/>
  <c r="G29" i="1"/>
  <c r="G34" i="1"/>
  <c r="F6" i="1"/>
  <c r="G6" i="1" s="1"/>
  <c r="B15" i="1" l="1"/>
  <c r="B17" i="1"/>
</calcChain>
</file>

<file path=xl/sharedStrings.xml><?xml version="1.0" encoding="utf-8"?>
<sst xmlns="http://schemas.openxmlformats.org/spreadsheetml/2006/main" count="3165" uniqueCount="1521">
  <si>
    <t>ROADMAP HỌC THUẬT TOÁN ỨNG DỤNG – 100 NGÀY (C++ &amp; Java)</t>
  </si>
  <si>
    <t>Chỉ sửa ô nền vàng. Mọi chỉ số khác tự cập nhật từ sheet Roadmap, LeetCode, NhatKy, Slide.</t>
  </si>
  <si>
    <t>CẤU HÌNH &amp; HÔM NAY</t>
  </si>
  <si>
    <t>TIẾN ĐỘ THEO GIAI ĐOẠN</t>
  </si>
  <si>
    <t>Ngày bắt đầu (sửa ô này)</t>
  </si>
  <si>
    <t>Giai đoạn</t>
  </si>
  <si>
    <t>Số ngày</t>
  </si>
  <si>
    <t>Ngày xong</t>
  </si>
  <si>
    <t>% ngày</t>
  </si>
  <si>
    <t>Bài KH</t>
  </si>
  <si>
    <t>Bài xong</t>
  </si>
  <si>
    <t>% bài</t>
  </si>
  <si>
    <t>Ôn lần 1 sau (ngày)</t>
  </si>
  <si>
    <t>1. Nền tảng</t>
  </si>
  <si>
    <t>Ôn lần 2 sau (ngày)</t>
  </si>
  <si>
    <t>2. CTDL &amp; thuật toán kinh điển</t>
  </si>
  <si>
    <t>Ôn lần 3 sau (ngày)</t>
  </si>
  <si>
    <t>3. RMQ &amp; Segment Tree</t>
  </si>
  <si>
    <t>Hôm nay là ngày thứ</t>
  </si>
  <si>
    <t>4. Quay lui &amp; Nhánh cận</t>
  </si>
  <si>
    <t>Chủ đề hôm nay</t>
  </si>
  <si>
    <t>5. Tham lam</t>
  </si>
  <si>
    <t>Bài LeetCode hôm nay</t>
  </si>
  <si>
    <t>6. Chia để trị</t>
  </si>
  <si>
    <t>Ngày kết thúc dự kiến</t>
  </si>
  <si>
    <t>7. Quy hoạch động</t>
  </si>
  <si>
    <t>8. Đồ thị, DFS &amp; Cây</t>
  </si>
  <si>
    <t>TIẾN ĐỘ LỘ TRÌNH</t>
  </si>
  <si>
    <t>9. Luồng &amp; Ghép cặp</t>
  </si>
  <si>
    <t>Số ngày hoàn thành</t>
  </si>
  <si>
    <t>10. Hình học</t>
  </si>
  <si>
    <t>% lộ trình hoàn thành</t>
  </si>
  <si>
    <t>11. Xâu</t>
  </si>
  <si>
    <t>Số ngày theo lịch đã qua (không tính hôm nay)</t>
  </si>
  <si>
    <t>12. NP-đầy đủ &amp; Tổng ôn</t>
  </si>
  <si>
    <t>Chênh lệch so với kế hoạch (+ là vượt tiến độ)</t>
  </si>
  <si>
    <t>Số ngày trễ hạn</t>
  </si>
  <si>
    <t>THEO ĐỘ KHÓ</t>
  </si>
  <si>
    <t>Độ khó</t>
  </si>
  <si>
    <t>Tổng</t>
  </si>
  <si>
    <t>Xong</t>
  </si>
  <si>
    <t>%</t>
  </si>
  <si>
    <t>LEETCODE</t>
  </si>
  <si>
    <t>Easy</t>
  </si>
  <si>
    <t>Tổng bài kế hoạch</t>
  </si>
  <si>
    <t>Medium</t>
  </si>
  <si>
    <t>Đã xong</t>
  </si>
  <si>
    <t>Hard</t>
  </si>
  <si>
    <t>% hoàn thành</t>
  </si>
  <si>
    <t>Đang ở trạng thái Cần ôn</t>
  </si>
  <si>
    <t>GIỜ HỌC &amp; BÀI GIẢI THEO TUẦN</t>
  </si>
  <si>
    <t>Số lần thử trung bình / bài đã xong</t>
  </si>
  <si>
    <t>Tuần</t>
  </si>
  <si>
    <t>Giờ KH</t>
  </si>
  <si>
    <t>Giờ thực tế</t>
  </si>
  <si>
    <t>Bài giải</t>
  </si>
  <si>
    <t>Bài đến hạn ôn hôm nay</t>
  </si>
  <si>
    <t>Dự kiến xong hết bài (theo tốc độ hiện tại)</t>
  </si>
  <si>
    <t>GIỜ HỌC &amp; KỶ LUẬT</t>
  </si>
  <si>
    <t>Tổng giờ kế hoạch</t>
  </si>
  <si>
    <t>Tổng giờ thực tế</t>
  </si>
  <si>
    <t>Giờ trung bình / ngày có học</t>
  </si>
  <si>
    <t>Chuỗi ngày học liên tiếp hiện tại</t>
  </si>
  <si>
    <t>Chuỗi dài nhất</t>
  </si>
  <si>
    <t>CHECKLIST SLIDE</t>
  </si>
  <si>
    <t>Tổng mục slide</t>
  </si>
  <si>
    <t>Mục đã nắm đủ (4 dấu ✓)</t>
  </si>
  <si>
    <t>% mục slide</t>
  </si>
  <si>
    <t>LỘ TRÌNH 100 NGÀY – THUẬT TOÁN ỨNG DỤNG (C++ &amp; Java)</t>
  </si>
  <si>
    <t>Ô nền vàng = bạn nhập. Dòng nền xanh nhạt = hôm nay. Trạng thái ngày tự tính từ các ô ✓ và sheet LeetCode.</t>
  </si>
  <si>
    <t>Ngày</t>
  </si>
  <si>
    <t>Ngày dự kiến</t>
  </si>
  <si>
    <t>Chủ đề</t>
  </si>
  <si>
    <t>Nội dung lý thuyết cần học</t>
  </si>
  <si>
    <t>Nguồn</t>
  </si>
  <si>
    <t>Gợi ý C++</t>
  </si>
  <si>
    <t>Gợi ý Java</t>
  </si>
  <si>
    <t>Bài LeetCode (#)</t>
  </si>
  <si>
    <t>Bài ngoài LeetCode / lưu ý</t>
  </si>
  <si>
    <t>Số bài KH</t>
  </si>
  <si>
    <t>Số bài xong</t>
  </si>
  <si>
    <t>Lý thuyết ✓</t>
  </si>
  <si>
    <t>C++ ✓</t>
  </si>
  <si>
    <t>Java ✓</t>
  </si>
  <si>
    <t>Trạng thái</t>
  </si>
  <si>
    <t>Ghi chú</t>
  </si>
  <si>
    <t>Môi trường, I/O nhanh, độ phức tạp Big-O</t>
  </si>
  <si>
    <t>Cài g++/JDK + IDE; viết template thi; Big-O; ~10^8 phép/giây; ôn thư viện chuẩn (Chương 1)</t>
  </si>
  <si>
    <t>Slide T1 (Chương 1) + Kiến thức nền</t>
  </si>
  <si>
    <t>bits/stdc++.h, sync_with_stdio(false), vector, pair</t>
  </si>
  <si>
    <t>BufferedReader, StringTokenizer, StringBuilder</t>
  </si>
  <si>
    <t>1, 412, 217</t>
  </si>
  <si>
    <t>Tạo template C++ và Java dùng cho cả khoá</t>
  </si>
  <si>
    <t>Mảng 1 chiều &amp; kỹ thuật in-place</t>
  </si>
  <si>
    <t>Duyệt, xoá phần tử, dồn mảng, gộp 2 mảng đã sắp xếp</t>
  </si>
  <si>
    <t>Kiến thức nền</t>
  </si>
  <si>
    <t>vector, erase, swap, reverse</t>
  </si>
  <si>
    <t>int[], Arrays.fill/copyOf, System.arraycopy</t>
  </si>
  <si>
    <t>26, 27, 88, 283</t>
  </si>
  <si>
    <t>Xâu ký tự cơ bản</t>
  </si>
  <si>
    <t>Duyệt xâu, bảng đếm 26 ký tự, palindrome, tiền tố chung</t>
  </si>
  <si>
    <t>string, substr, array&lt;int,26&gt;</t>
  </si>
  <si>
    <t>String, StringBuilder, toCharArray</t>
  </si>
  <si>
    <t>344, 125, 242, 14</t>
  </si>
  <si>
    <t>Số học cơ bản &amp; tràn số</t>
  </si>
  <si>
    <t>Đảo số, chia lấy dư, tràn int → dùng long long / long</t>
  </si>
  <si>
    <t>long long, INT_MAX, abs</t>
  </si>
  <si>
    <t>long, Math.addExact, Integer.MAX_VALUE</t>
  </si>
  <si>
    <t>9, 13, 7, 66</t>
  </si>
  <si>
    <t>GCD, luỹ thừa nhanh, sàng nguyên tố</t>
  </si>
  <si>
    <t>Euclid; binary exponentiation O(log n); sàng Eratosthenes O(n log log n); modulo</t>
  </si>
  <si>
    <t>gcd, vector&lt;bool&gt;</t>
  </si>
  <si>
    <t>boolean[], Math.sqrt, BigInteger</t>
  </si>
  <si>
    <t>204, 50, 69, 1071</t>
  </si>
  <si>
    <t>Prefix sum &amp; difference array</t>
  </si>
  <si>
    <t>Tổng tiền tố, truy vấn đoạn O(1), prefix + hash map</t>
  </si>
  <si>
    <t>partial_sum, unordered_map</t>
  </si>
  <si>
    <t>long[] prefix, HashMap</t>
  </si>
  <si>
    <t>303, 724, 238, 560</t>
  </si>
  <si>
    <t>Kadane + ôn tập tuần 1</t>
  </si>
  <si>
    <t>Kadane O(n); làm lại bài sai; viết lại template</t>
  </si>
  <si>
    <t>max/min, INT_MIN</t>
  </si>
  <si>
    <t>Math.max/min, Integer.MIN_VALUE</t>
  </si>
  <si>
    <t>53, 121, 169</t>
  </si>
  <si>
    <t>Giải thích lại 3 kỹ thuật tuần này không nhìn tài liệu</t>
  </si>
  <si>
    <t>Hai con trỏ</t>
  </si>
  <si>
    <t>Mảng đã sắp xếp; left/right; loại trùng trong 3Sum</t>
  </si>
  <si>
    <t>sort, vector</t>
  </si>
  <si>
    <t>Arrays.sort</t>
  </si>
  <si>
    <t>167, 15, 11</t>
  </si>
  <si>
    <t>Cửa sổ trượt</t>
  </si>
  <si>
    <t>Cửa sổ cố định / co giãn; đếm tần suất ký tự</t>
  </si>
  <si>
    <t>unordered_map, array&lt;int,128&gt;</t>
  </si>
  <si>
    <t>HashMap, int[128]</t>
  </si>
  <si>
    <t>3, 209, 567, 76</t>
  </si>
  <si>
    <t>Đệ quy cơ bản</t>
  </si>
  <si>
    <t>Điều kiện dừng, cây đệ quy, memo hoá, độ sâu ngăn xếp</t>
  </si>
  <si>
    <t>đệ quy; chú ý độ sâu ~10^5</t>
  </si>
  <si>
    <t>StackOverflowError → new Thread(..., stackSize)</t>
  </si>
  <si>
    <t>509, 70, 231, 779</t>
  </si>
  <si>
    <t>Tìm kiếm nhị phân cơ bản</t>
  </si>
  <si>
    <t>Biên lo/hi, mid=lo+(hi-lo)/2, bất biến vòng lặp</t>
  </si>
  <si>
    <t>CTDL &amp; thuật toán kinh điển</t>
  </si>
  <si>
    <t>lower_bound, upper_bound, binary_search</t>
  </si>
  <si>
    <t>Arrays.binarySearch (tự viết lower_bound)</t>
  </si>
  <si>
    <t>704, 35, 34, 74</t>
  </si>
  <si>
    <t>Tìm kiếm nhị phân trên đáp án</t>
  </si>
  <si>
    <t>Hàm đơn điệu feasible(x); mảng xoay; chia tỉ lệ</t>
  </si>
  <si>
    <t>lambda, long long</t>
  </si>
  <si>
    <t>hàm kiểm tra tự viết</t>
  </si>
  <si>
    <t>33, 153, 875, 4</t>
  </si>
  <si>
    <t>Sắp xếp &amp; comparator tuỳ biến</t>
  </si>
  <si>
    <t>Merge/Quick/Heap sort; sắp xếp ổn định; quickselect</t>
  </si>
  <si>
    <t>sort, stable_sort, lambda</t>
  </si>
  <si>
    <t>Arrays.sort(T[], Comparator), Collections.sort</t>
  </si>
  <si>
    <t>912, 75, 215, 56</t>
  </si>
  <si>
    <t>Ôn tập tuần 2 + xử lý ma trận</t>
  </si>
  <si>
    <t>Duyệt xoắn ốc, xoay ma trận, đánh dấu in-place; ôn 3 bài sai</t>
  </si>
  <si>
    <t>vector&lt;vector&lt;int&gt;&gt;</t>
  </si>
  <si>
    <t>int[][]</t>
  </si>
  <si>
    <t>189, 48, 54, 73</t>
  </si>
  <si>
    <t>Stack</t>
  </si>
  <si>
    <t>LIFO; kiểm tra ngoặc; biểu thức hậu tố</t>
  </si>
  <si>
    <t>stack, vector làm stack</t>
  </si>
  <si>
    <t>ArrayDeque làm stack (tránh class Stack)</t>
  </si>
  <si>
    <t>20, 155, 150, 71</t>
  </si>
  <si>
    <t>Monotonic stack</t>
  </si>
  <si>
    <t>Phần tử lớn kế tiếp; histogram; mỗi phần tử vào/ra ngăn xếp 1 lần</t>
  </si>
  <si>
    <t>stack&lt;int&gt; lưu chỉ số</t>
  </si>
  <si>
    <t>Deque&lt;Integer&gt; lưu chỉ số</t>
  </si>
  <si>
    <t>739, 496, 503, 84</t>
  </si>
  <si>
    <t>Queue &amp; Deque</t>
  </si>
  <si>
    <t>Hàng đợi; deque đơn điệu cho sliding window max</t>
  </si>
  <si>
    <t>queue, deque</t>
  </si>
  <si>
    <t>Queue, ArrayDeque</t>
  </si>
  <si>
    <t>232, 225, 622, 239</t>
  </si>
  <si>
    <t>Danh sách liên kết (1)</t>
  </si>
  <si>
    <t>Đảo, gộp, Floyd phát hiện chu trình</t>
  </si>
  <si>
    <t>struct ListNode*</t>
  </si>
  <si>
    <t>class ListNode</t>
  </si>
  <si>
    <t>206, 21, 141, 142</t>
  </si>
  <si>
    <t>Danh sách liên kết (2)</t>
  </si>
  <si>
    <t>Dummy node, hai con trỏ nhanh/chậm, cộng số lớn</t>
  </si>
  <si>
    <t>con trỏ thô, dummy</t>
  </si>
  <si>
    <t>tham chiếu, dummy</t>
  </si>
  <si>
    <t>19, 2, 143, 138</t>
  </si>
  <si>
    <t>Hash map / hash set</t>
  </si>
  <si>
    <t>Đếm tần suất, nhóm theo khoá, khoá tổng hợp</t>
  </si>
  <si>
    <t>unordered_map, unordered_set</t>
  </si>
  <si>
    <t>HashMap, HashSet</t>
  </si>
  <si>
    <t>49, 128, 347, 454</t>
  </si>
  <si>
    <t>Ôn tập tuần 3 + thiết kế CTDL</t>
  </si>
  <si>
    <t>LRU = hash map + danh sách liên kết đôi</t>
  </si>
  <si>
    <t>list + unordered_map</t>
  </si>
  <si>
    <t>LinkedHashMap / tự cài DLL</t>
  </si>
  <si>
    <t>146, 706, 23</t>
  </si>
  <si>
    <t>Heap / Priority Queue</t>
  </si>
  <si>
    <t>Top-K, hai heap lấy trung vị; heapify O(n)</t>
  </si>
  <si>
    <t>priority_queue (max-heap), greater&lt;&gt;</t>
  </si>
  <si>
    <t>PriorityQueue (min-heap), Comparator</t>
  </si>
  <si>
    <t>703, 1046, 973, 295</t>
  </si>
  <si>
    <t>Cây nhị phân: duyệt</t>
  </si>
  <si>
    <t>DFS tiền/trung/hậu thứ tự; BFS theo tầng; đệ quy vs lặp</t>
  </si>
  <si>
    <t>struct TreeNode, queue</t>
  </si>
  <si>
    <t>TreeNode, Queue</t>
  </si>
  <si>
    <t>94, 102, 104, 226</t>
  </si>
  <si>
    <t>BST &amp; LCA</t>
  </si>
  <si>
    <t>Tính chất BST; trung thứ tự tăng dần; LCA</t>
  </si>
  <si>
    <t>đệ quy trên con trỏ</t>
  </si>
  <si>
    <t>đệ quy</t>
  </si>
  <si>
    <t>98, 230, 235, 236</t>
  </si>
  <si>
    <t>Dựng cây &amp; serialize</t>
  </si>
  <si>
    <t>Dựng từ tiền/trung thứ tự; serialize BFS/DFS; so sánh cây</t>
  </si>
  <si>
    <t>unordered_map&lt;int,int&gt; index</t>
  </si>
  <si>
    <t>HashMap index</t>
  </si>
  <si>
    <t>105, 297, 572, 101</t>
  </si>
  <si>
    <t>Trie</t>
  </si>
  <si>
    <t>Cây tiền tố; chèn/tìm O(L); backtracking trên trie</t>
  </si>
  <si>
    <t>array&lt;Trie*,26&gt;</t>
  </si>
  <si>
    <t>Trie[26]</t>
  </si>
  <si>
    <t>208, 211, 212</t>
  </si>
  <si>
    <t>Disjoint Set Union (DSU)</t>
  </si>
  <si>
    <t>find + nén đường đi, union by rank; đếm thành phần liên thông</t>
  </si>
  <si>
    <t>vector&lt;int&gt; parent</t>
  </si>
  <si>
    <t>int[] parent</t>
  </si>
  <si>
    <t>547, 684, 721, 990</t>
  </si>
  <si>
    <t>Ôn tập tuần 4</t>
  </si>
  <si>
    <t>DSU + hash + mảng ngẫu nhiên; làm lại bài sai tuần 2-4</t>
  </si>
  <si>
    <t>mt19937, rand</t>
  </si>
  <si>
    <t>ThreadLocalRandom</t>
  </si>
  <si>
    <t>1319, 1722, 380</t>
  </si>
  <si>
    <t>RMQ – Sparse Table (Slide T2-3)</t>
  </si>
  <si>
    <t>M[i][j] = chỉ số phần tử nhỏ nhất của đoạn bắt đầu tại j dài 2^i; M[0][j]=j; tiền xử lý O(N log N); truy vấn O(1) với k=floor(log2(j-i+1))</t>
  </si>
  <si>
    <t>Slide T2-3 (RMQ)</t>
  </si>
  <si>
    <t>vector&lt;vector&lt;int&gt;&gt;, __lg()</t>
  </si>
  <si>
    <t>int[][], 31-Integer.numberOfLeadingZeros</t>
  </si>
  <si>
    <t>1438, 1856, 2104, 907</t>
  </si>
  <si>
    <t>Tự cài lại ví dụ slide: a={2,4,6,1,6,8,7,3,3,5,8,9,1,2,6,4}, RMQ(4,14)=12</t>
  </si>
  <si>
    <t>RMQ nâng cao &amp; binary lifting</t>
  </si>
  <si>
    <t>Sparse table cho gcd/max; binary lifting tìm tổ tiên thứ k</t>
  </si>
  <si>
    <t>bảng up[LOG][N]</t>
  </si>
  <si>
    <t>1483, 1157, 2398</t>
  </si>
  <si>
    <t>Segment Tree (1): cấu trúc &amp; GetMax (Slide T3)</t>
  </si>
  <si>
    <t>Nút id quản lý [L,R]; con trái 2id, phải 2id+1; maxVal[id]; ≤ 4n nút; mỗi tầng duyệt ≤ 4 nút → O(log n)</t>
  </si>
  <si>
    <t>Slide T3 (Segment Tree)</t>
  </si>
  <si>
    <t>vector&lt;int&gt; tree(4*n)</t>
  </si>
  <si>
    <t>int[] tree = new int[4*n]</t>
  </si>
  <si>
    <t>307, 315</t>
  </si>
  <si>
    <t>Tự viết thêm hàm Build O(n) (slide chưa có)</t>
  </si>
  <si>
    <t>Segment Tree (2): Update &amp; ứng dụng</t>
  </si>
  <si>
    <t>UpdateFromNode xuống lá rồi tính lại max; O(log n); biến thể sum/min/gcd/đếm</t>
  </si>
  <si>
    <t>đệ quy 4 tham số</t>
  </si>
  <si>
    <t>699, 218, 1649</t>
  </si>
  <si>
    <t>Lazy propagation &amp; Fenwick Tree</t>
  </si>
  <si>
    <t>Cập nhật đoạn với lazy; BIT cho prefix sum; so sánh với segment tree</t>
  </si>
  <si>
    <t>vector&lt;long long&gt; bit</t>
  </si>
  <si>
    <t>long[] bit</t>
  </si>
  <si>
    <t>493, 327, 2407</t>
  </si>
  <si>
    <t>Ôn tập tuần 5 + template</t>
  </si>
  <si>
    <t>Hoàn thiện template Segment Tree generic (sum/min/max + lazy) cho C++ và Java</t>
  </si>
  <si>
    <t>template&lt;typename T&gt;</t>
  </si>
  <si>
    <t>generic class / IntBinaryOperator</t>
  </si>
  <si>
    <t>2276, 2179</t>
  </si>
  <si>
    <t>Lưu template vào thư viện cá nhân</t>
  </si>
  <si>
    <t>Quay lui: sơ đồ chung (Slide T4)</t>
  </si>
  <si>
    <t>try(k): với v ∈ A_k: check(v,k) → X_k=v → [cập nhật D] → k=n ? ghi nhận : try(k+1) → [khôi phục D]</t>
  </si>
  <si>
    <t>Slide T4 (Chương 3)</t>
  </si>
  <si>
    <t>vector&lt;bool&gt; used, push_back/pop_back</t>
  </si>
  <si>
    <t>boolean[] used, list.remove(size-1)</t>
  </si>
  <si>
    <t>78, 90, 46, 47</t>
  </si>
  <si>
    <t>Tổ hợp, hoán vị &amp; loại trùng</t>
  </si>
  <si>
    <t>Sắp xếp + bỏ qua phần tử trùng; cận tổng; start index</t>
  </si>
  <si>
    <t>sort + continue</t>
  </si>
  <si>
    <t>Arrays.sort + continue</t>
  </si>
  <si>
    <t>77, 39, 40, 216</t>
  </si>
  <si>
    <t>Quay lui có ràng buộc</t>
  </si>
  <si>
    <t>Cắt tỉa sớm; thử trên lưới; chia xâu</t>
  </si>
  <si>
    <t>string, vector&lt;string&gt;</t>
  </si>
  <si>
    <t>StringBuilder, List&lt;String&gt;</t>
  </si>
  <si>
    <t>17, 22, 79, 131</t>
  </si>
  <si>
    <t>N-Queens, Sudoku, IP</t>
  </si>
  <si>
    <t>Mảng đánh dấu cột/đường chéo; bitmask; thứ tự chọn ô</t>
  </si>
  <si>
    <t>bitset / mảng bool</t>
  </si>
  <si>
    <t>boolean[]</t>
  </si>
  <si>
    <t>51, 52, 37, 93</t>
  </si>
  <si>
    <t>Ôn tập tuần 6: chia tập (bin packing)</t>
  </si>
  <si>
    <t>Sắp xếp giảm dần + cắt tỉa; thử đặt vào từng "thùng"</t>
  </si>
  <si>
    <t>sort greater</t>
  </si>
  <si>
    <t>Arrays.sort + đảo</t>
  </si>
  <si>
    <t>698, 473, 2305, 1239</t>
  </si>
  <si>
    <t>Nhánh cận (Slide T4): sơ đồ chung</t>
  </si>
  <si>
    <t>Kỷ lục f*; cận dưới g(X1..Xk); chỉ gọi try(k+1) nếu g &lt; f*; thứ tự thử tốt → tìm kỷ lục sớm</t>
  </si>
  <si>
    <t>biến toàn cục best</t>
  </si>
  <si>
    <t>static int best</t>
  </si>
  <si>
    <t>847, 943, 1723</t>
  </si>
  <si>
    <t>CBUS – lộ trình xe buýt đón trả khách (Slide T4)</t>
  </si>
  <si>
    <t>X1..X2n hoán vị 1..2n; khách i đón tại i, trả tại i+n; load ≤ K; cận f + Cmin·(2n+1−k); updateBest cộng d(X2n,0)</t>
  </si>
  <si>
    <t>visited[], load, f, best</t>
  </si>
  <si>
    <t>1359, 1986, 1879</t>
  </si>
  <si>
    <t>Cài đúng theo slide, tự sinh test nhỏ để so với vét cạn</t>
  </si>
  <si>
    <t>Cắt vật liệu 2D – bin packing 2D (Slide T4)</t>
  </si>
  <si>
    <t>Mỗi miếng (x,y,o); mark[i][j]; check/doMark/undo; xoay 90°</t>
  </si>
  <si>
    <t>bool mark[H][W]</t>
  </si>
  <si>
    <t>boolean[][] mark</t>
  </si>
  <si>
    <t>391, 223, 850</t>
  </si>
  <si>
    <t>Slide: check dùng h[k],w[k] thay vì hk,wk khi xoay → tự sửa khi cài</t>
  </si>
  <si>
    <t>CVRP – xe tải giao hàng (Slide T5)</t>
  </si>
  <si>
    <t>Nhiều xe, tải trọng Q, mỗi khách thăm 1 lần; tối thiểu tổng quãng đường; cận dưới + kỷ lục khởi tạo bằng tham lam</t>
  </si>
  <si>
    <t>Slide T5 (Chương 3)</t>
  </si>
  <si>
    <t>vector&lt;vector&lt;int&gt;&gt; dist</t>
  </si>
  <si>
    <t>int[][] dist</t>
  </si>
  <si>
    <t>1125, 1595, 2172</t>
  </si>
  <si>
    <t>Đối chiếu nội dung slide tuần 5; tự sinh test nhỏ để kiểm tra</t>
  </si>
  <si>
    <t>Ôn tập tuần 7: nhánh cận + bitmask</t>
  </si>
  <si>
    <t>So sánh quay lui thuần vs nhánh cận vs bitmask DP trên cùng một bài</t>
  </si>
  <si>
    <t>__builtin_popcount</t>
  </si>
  <si>
    <t>Integer.bitCount</t>
  </si>
  <si>
    <t>2597, 1255</t>
  </si>
  <si>
    <t>Tham lam: nguyên lý &amp; exchange argument (Slide T6)</t>
  </si>
  <si>
    <t>Lựa chọn cục bộ tối ưu; chứng minh bằng đổi chỗ; tìm phản ví dụ</t>
  </si>
  <si>
    <t>Slide T6 (Chương 4: Tham lam)</t>
  </si>
  <si>
    <t>sort + vòng lặp tham lam</t>
  </si>
  <si>
    <t>455, 860, 605, 1005</t>
  </si>
  <si>
    <t>Tham lam trên mảng</t>
  </si>
  <si>
    <t>Phạm vi nhảy xa nhất; trạm xăng; mua bán cổ phiếu nhiều lần</t>
  </si>
  <si>
    <t>vector</t>
  </si>
  <si>
    <t>int[]</t>
  </si>
  <si>
    <t>122, 55, 45, 134</t>
  </si>
  <si>
    <t>Tham lam trên đoạn (interval scheduling)</t>
  </si>
  <si>
    <t>Sắp xếp theo điểm kết thúc; đếm đoạn không giao; mũi tên</t>
  </si>
  <si>
    <t>sort theo end, lambda</t>
  </si>
  <si>
    <t>Arrays.sort(Comparator)</t>
  </si>
  <si>
    <t>435, 452, 1353, 763</t>
  </si>
  <si>
    <t>Sắp xếp rồi tham lam</t>
  </si>
  <si>
    <t>Sắp theo tiêu chí kép; hai con trỏ ghép cặp</t>
  </si>
  <si>
    <t>sort + lambda</t>
  </si>
  <si>
    <t>Comparator.comparingInt</t>
  </si>
  <si>
    <t>406, 1029, 881, 1710</t>
  </si>
  <si>
    <t>Tham lam + heap</t>
  </si>
  <si>
    <t>Dùng heap chọn tốt nhất ở mỗi bước; hoãn quyết định</t>
  </si>
  <si>
    <t>priority_queue</t>
  </si>
  <si>
    <t>PriorityQueue</t>
  </si>
  <si>
    <t>135, 767, 502, 1642</t>
  </si>
  <si>
    <t>Tham lam trên chuỗi số</t>
  </si>
  <si>
    <t>Ngăn xếp tham lam; cắt chữ số; chọn ký tự nhỏ nhất</t>
  </si>
  <si>
    <t>string làm stack</t>
  </si>
  <si>
    <t>StringBuilder làm stack</t>
  </si>
  <si>
    <t>402, 316, 738, 330</t>
  </si>
  <si>
    <t>MST (Prim/Kruskal) &amp; Dijkstra</t>
  </si>
  <si>
    <t>Kruskal + DSU; Prim + heap; Dijkstra O((V+E) log V)</t>
  </si>
  <si>
    <t>priority_queue&lt;pair&gt;</t>
  </si>
  <si>
    <t>PriorityQueue&lt;int[]&gt;</t>
  </si>
  <si>
    <t>1584, 743, 861</t>
  </si>
  <si>
    <t>Chia để trị: sơ đồ &amp; Master theorem (Slide T7)</t>
  </si>
  <si>
    <t>Divide–Conquer–Combine; T(n)=aT(n/b)+f(n); merge sort; xây BST cân bằng</t>
  </si>
  <si>
    <t>Slide T7 (Chương 4: Chia để trị)</t>
  </si>
  <si>
    <t>đệ quy chia đôi</t>
  </si>
  <si>
    <t>148, 108, 109, 106</t>
  </si>
  <si>
    <t>Luỹ thừa nhanh &amp; chia để trị biểu thức</t>
  </si>
  <si>
    <t>Chia theo toán tử; luỹ thừa ma trận; sinh mọi cây BST</t>
  </si>
  <si>
    <t>vector&lt;TreeNode*&gt;</t>
  </si>
  <si>
    <t>List&lt;TreeNode&gt;</t>
  </si>
  <si>
    <t>372, 241, 95</t>
  </si>
  <si>
    <t>Đếm nghịch thế &amp; tìm kiếm ma trận</t>
  </si>
  <si>
    <t>Merge sort đếm cặp; Quadtree; Beautiful Array</t>
  </si>
  <si>
    <t>merge + đếm</t>
  </si>
  <si>
    <t>395, 240, 427, 932</t>
  </si>
  <si>
    <t>Chia để trị trên cây / đoạn</t>
  </si>
  <si>
    <t>Chọn gốc là max; chia theo preorder/postorder; Burst Balloons</t>
  </si>
  <si>
    <t>đệ quy [l,r]</t>
  </si>
  <si>
    <t>312, 889, 654</t>
  </si>
  <si>
    <t>Ôn tập tuần 8: chia để trị</t>
  </si>
  <si>
    <t>Closest pair of points, Karatsuba, max subarray D&amp;C – chọn 1 để cài</t>
  </si>
  <si>
    <t>sort theo x, strip</t>
  </si>
  <si>
    <t>Arrays.sort theo x</t>
  </si>
  <si>
    <t>658, 162, 287</t>
  </si>
  <si>
    <t>QHĐ: tư duy bài toán con (Slide T8-9)</t>
  </si>
  <si>
    <t>Trạng thái, công thức truy hồi, bảng; top-down memo vs bottom-up; tối ưu bộ nhớ</t>
  </si>
  <si>
    <t>Slide T8-9 (Chương 4: QHĐ)</t>
  </si>
  <si>
    <t>vector&lt;int&gt; dp</t>
  </si>
  <si>
    <t>int[] dp</t>
  </si>
  <si>
    <t>746, 198, 213, 740</t>
  </si>
  <si>
    <t>QHĐ 1 chiều: đếm cách &amp; min coin</t>
  </si>
  <si>
    <t>dp[i] từ dp[i-k]; xâu → số; từ điển</t>
  </si>
  <si>
    <t>vector&lt;int&gt;, unordered_set</t>
  </si>
  <si>
    <t>int[], HashSet</t>
  </si>
  <si>
    <t>91, 139, 322, 518</t>
  </si>
  <si>
    <t>LIS và biến thể</t>
  </si>
  <si>
    <t>O(n²) và O(n log n) với lower_bound; đếm số LIS; lồng phong bì</t>
  </si>
  <si>
    <t>lower_bound</t>
  </si>
  <si>
    <t>Collections.binarySearch</t>
  </si>
  <si>
    <t>300, 673, 354, 152</t>
  </si>
  <si>
    <t>QHĐ trên lưới (1)</t>
  </si>
  <si>
    <t>dp[i][j] từ ô trên/trái; vật cản; tam giác</t>
  </si>
  <si>
    <t>62, 63, 64, 120</t>
  </si>
  <si>
    <t>QHĐ trên lưới (2) &amp; hình chữ nhật</t>
  </si>
  <si>
    <t>Hình vuông lớn nhất; chữ nhật cực đại qua histogram; Dungeon chạy ngược</t>
  </si>
  <si>
    <t>dp 2D</t>
  </si>
  <si>
    <t>931, 221, 85, 174</t>
  </si>
  <si>
    <t>Ôn tập tuần 9</t>
  </si>
  <si>
    <t>Cherry Pickup (2 đường đi); số chính phương; tổ hợp có thứ tự</t>
  </si>
  <si>
    <t>dp 3D</t>
  </si>
  <si>
    <t>741, 279, 377</t>
  </si>
  <si>
    <t>Knapsack 0/1</t>
  </si>
  <si>
    <t>dp[w] duyệt ngược; chia tập bằng nhau; thêm chiều thứ hai</t>
  </si>
  <si>
    <t>dp 1D duyệt ngược</t>
  </si>
  <si>
    <t>416, 494, 474, 1049</t>
  </si>
  <si>
    <t>Knapsack mở rộng &amp; đếm</t>
  </si>
  <si>
    <t>Knapsack đa chiều; đếm cách theo điều kiện; Catalan</t>
  </si>
  <si>
    <t>mod 1e9+7</t>
  </si>
  <si>
    <t>long, mod 1_000_000_007</t>
  </si>
  <si>
    <t>879, 2585, 1155, 96</t>
  </si>
  <si>
    <t>QHĐ xâu (1): LCS, Edit distance</t>
  </si>
  <si>
    <t>dp[i][j] trên hai xâu; truy vết đáp án</t>
  </si>
  <si>
    <t>1143, 72, 583, 97</t>
  </si>
  <si>
    <t>QHĐ xâu (2): Palindrome</t>
  </si>
  <si>
    <t>Mở rộng quanh tâm; dp[l][r]; cắt ít nhất</t>
  </si>
  <si>
    <t>dp[l][r]</t>
  </si>
  <si>
    <t>516, 5, 647, 132</t>
  </si>
  <si>
    <t>QHĐ xâu (3): matching</t>
  </si>
  <si>
    <t>Đếm dãy con; wildcard; regex</t>
  </si>
  <si>
    <t>115, 44, 10</t>
  </si>
  <si>
    <t>QHĐ trạng thái (cổ phiếu)</t>
  </si>
  <si>
    <t>Máy trạng thái: giữ / không giữ / cooldown; giới hạn k giao dịch</t>
  </si>
  <si>
    <t>dp[i][k][state]</t>
  </si>
  <si>
    <t>123, 188, 309, 714</t>
  </si>
  <si>
    <t>QHĐ đoạn (interval DP)</t>
  </si>
  <si>
    <t>dp[l][r] duyệt theo độ dài; điểm chia k</t>
  </si>
  <si>
    <t>3 vòng lặp len/l/k</t>
  </si>
  <si>
    <t>1039, 1312, 375, 664</t>
  </si>
  <si>
    <t>QHĐ bitmask</t>
  </si>
  <si>
    <t>Tập con trạng thái 2^n; chuyển trạng thái; nền tảng cho TSP</t>
  </si>
  <si>
    <t>dp[1&lt;&lt;n]</t>
  </si>
  <si>
    <t>464, 691, 1494, 1434</t>
  </si>
  <si>
    <t>QHĐ trên cây</t>
  </si>
  <si>
    <t>dp[u][state] gộp từ con; chọn / không chọn nút</t>
  </si>
  <si>
    <t>đệ quy DFS</t>
  </si>
  <si>
    <t>337, 968, 124</t>
  </si>
  <si>
    <t>QHĐ chữ số &amp; xác suất</t>
  </si>
  <si>
    <t>Digit DP (tight, leading zero); dp xác suất bước đi</t>
  </si>
  <si>
    <t>memo[pos][tight]</t>
  </si>
  <si>
    <t>233, 902, 688</t>
  </si>
  <si>
    <t>Ôn tập tuần 10: tổng kết QHĐ</t>
  </si>
  <si>
    <t>Lập bảng nhận dạng QHĐ: trạng thái – chuyển – thứ tự tính – đáp án</t>
  </si>
  <si>
    <t>—</t>
  </si>
  <si>
    <t>650, 1137, 343</t>
  </si>
  <si>
    <t>Tạo cheat-sheet các mẫu QHĐ</t>
  </si>
  <si>
    <t>Đồ thị: biểu diễn &amp; DFS (Slide T10)</t>
  </si>
  <si>
    <t>Danh sách kề; visited/d[]; đếm thành phần liên thông; flood fill</t>
  </si>
  <si>
    <t>Slide T10 (Chương 5: DFS)</t>
  </si>
  <si>
    <t>vector&lt;vector&lt;int&gt;&gt; adj</t>
  </si>
  <si>
    <t>List&lt;Integer&gt;[] adj</t>
  </si>
  <si>
    <t>733, 200, 695, 1971</t>
  </si>
  <si>
    <t>DFS trên lưới &amp; đồ thị vô hướng</t>
  </si>
  <si>
    <t>Biên lưới, 4/8 hướng, sao chép đồ thị, liệt kê đường đi</t>
  </si>
  <si>
    <t>dx[], dy[]</t>
  </si>
  <si>
    <t>int[] dx, dy</t>
  </si>
  <si>
    <t>130, 417, 133, 797</t>
  </si>
  <si>
    <t>BFS &amp; đường đi ngắn nhất không trọng số</t>
  </si>
  <si>
    <t>BFS theo tầng; multi-source; BFS trên trạng thái</t>
  </si>
  <si>
    <t>queue&lt;pair&gt;</t>
  </si>
  <si>
    <t>Queue&lt;int[]&gt;</t>
  </si>
  <si>
    <t>994, 752, 1091, 127</t>
  </si>
  <si>
    <t>Sắp xếp tôpô</t>
  </si>
  <si>
    <t>Kahn (bậc vào) &amp; DFS; phát hiện chu trình; Minimum Height Trees</t>
  </si>
  <si>
    <t>vector&lt;int&gt; indeg</t>
  </si>
  <si>
    <t>int[] indeg</t>
  </si>
  <si>
    <t>207, 210, 802, 310</t>
  </si>
  <si>
    <t>Đồ thị hai phía &amp; cầu</t>
  </si>
  <si>
    <t>Tô 2 màu; low-link, Tarjan tìm cầu</t>
  </si>
  <si>
    <t>tin[], low[]</t>
  </si>
  <si>
    <t>785, 886, 1192</t>
  </si>
  <si>
    <t>Đường đi Euler &amp; DP trên DAG</t>
  </si>
  <si>
    <t>Hierholzer; đếm màu lớn nhất trên DAG</t>
  </si>
  <si>
    <t>stack / đệ quy</t>
  </si>
  <si>
    <t>Deque / đệ quy</t>
  </si>
  <si>
    <t>332, 753, 1857</t>
  </si>
  <si>
    <t>Đường đi ngắn nhất: Dijkstra</t>
  </si>
  <si>
    <t>Dijkstra + heap; biến thể trọng số max / min-max</t>
  </si>
  <si>
    <t>priority_queue&lt;pair&lt;ll,int&gt;&gt;</t>
  </si>
  <si>
    <t>PriorityQueue&lt;long[]&gt;</t>
  </si>
  <si>
    <t>787, 1631, 1514, 778</t>
  </si>
  <si>
    <t>Floyd–Warshall, MST nâng cao, DAG</t>
  </si>
  <si>
    <t>Floyd O(V³); cạnh tới hạn của MST; đường dài nhất trên DAG</t>
  </si>
  <si>
    <t>dist[V][V]</t>
  </si>
  <si>
    <t>long[][] dist</t>
  </si>
  <si>
    <t>1334, 1489, 2050</t>
  </si>
  <si>
    <t>Đường đi dài nhất trên cây (Slide T11)</t>
  </si>
  <si>
    <t>Chọn s bất kỳ → DFS(s) tìm x xa nhất → DFS(x) tìm y; đường x–y dài nhất; O(V+E); khởi tạo d[v]=-1</t>
  </si>
  <si>
    <t>Slide T11 (Chương 5: đường đi trên cây)</t>
  </si>
  <si>
    <t>vector&lt;pair&lt;int,int&gt;&gt; adj</t>
  </si>
  <si>
    <t>List&lt;int[]&gt;[] adj</t>
  </si>
  <si>
    <t>543, 687, 2246</t>
  </si>
  <si>
    <t>Tổng đường đi trên cây – rerooting (Slide T11)</t>
  </si>
  <si>
    <t>DFS1: d(u)+=d(v)+N(v)·w; N(u)+=N(v). DFS2: F=f(u)−(d(v)+w·N(v)); f(v)=F+d(v)+w·(n−N(v)); O(V+E)</t>
  </si>
  <si>
    <t>long long d[], N[], f[]</t>
  </si>
  <si>
    <t>long[] d, N, f</t>
  </si>
  <si>
    <t>834, 1519, 1443, 979</t>
  </si>
  <si>
    <t>Slide 10 là bản rút gọn; dùng công thức slide 11. Kiểm tra bằng vét cạn với n ≤ 8</t>
  </si>
  <si>
    <t>Đường đi &amp; LCA trên cây</t>
  </si>
  <si>
    <t>Path sum bằng DFS; tổng tiền tố trên đường đi; nút cách K</t>
  </si>
  <si>
    <t>đệ quy + parent map</t>
  </si>
  <si>
    <t>112, 113, 437, 863</t>
  </si>
  <si>
    <t>Cây: lan truyền &amp; cắt cây</t>
  </si>
  <si>
    <t>DFS tính chiều cao / kích thước; chọn cạnh cắt</t>
  </si>
  <si>
    <t>1376, 2385, 1530, 1339</t>
  </si>
  <si>
    <t>Ôn tập tuần 13: đồ thị</t>
  </si>
  <si>
    <t>DSU / DFS / BFS: chuỗi hoán đổi, tỉ lệ, đảo chiều cạnh</t>
  </si>
  <si>
    <t>unordered_map</t>
  </si>
  <si>
    <t>HashMap</t>
  </si>
  <si>
    <t>1202, 399, 1466</t>
  </si>
  <si>
    <t>Luồng cực đại – Max Flow (Slide T12)</t>
  </si>
  <si>
    <t>Đồ thị thặng dư; Ford–Fulkerson, Edmonds–Karp O(VE²), Dinic; luồng cực đại = cắt nhỏ nhất</t>
  </si>
  <si>
    <t>Slide T12 (Chương 5: Flow/Matching)</t>
  </si>
  <si>
    <t>struct Edge{to,cap}</t>
  </si>
  <si>
    <t>class Edge</t>
  </si>
  <si>
    <t>Ngoài LeetCode: SPOJ FASTFLOW, CSES Download Speed, Police Chase</t>
  </si>
  <si>
    <t>Ghép cặp cực đại trên đồ thị hai phía</t>
  </si>
  <si>
    <t>Đường tăng (Kuhn) O(VE); Hopcroft–Karp; quy về max flow</t>
  </si>
  <si>
    <t>vector&lt;int&gt; match</t>
  </si>
  <si>
    <t>int[] match</t>
  </si>
  <si>
    <t>1349</t>
  </si>
  <si>
    <t>Ngoài LeetCode: SPOJ MATCHING, CSES School Dance</t>
  </si>
  <si>
    <t>Thuật toán Hungarian – bài toán phân công</t>
  </si>
  <si>
    <t>Ma trận chi phí n×n; thế vị; O(n³); so sánh với bitmask DP O(2^n·n)</t>
  </si>
  <si>
    <t>u[], v[], p[], way[]</t>
  </si>
  <si>
    <t>1947, 2850</t>
  </si>
  <si>
    <t>Ôn tập tuần 13-14 &amp; đồ thị nâng cao</t>
  </si>
  <si>
    <t>Đếm đường ngắn nhất; 0-1 BFS</t>
  </si>
  <si>
    <t>deque&lt;pair&gt;</t>
  </si>
  <si>
    <t>ArrayDeque&lt;int[]&gt;</t>
  </si>
  <si>
    <t>1976, 1368</t>
  </si>
  <si>
    <t>Hình học: vector, tích có hướng, CCW (Slide T13)</t>
  </si>
  <si>
    <t>Diện tích đa giác, giao hai đoạn, điểm trong đa giác; dùng số nguyên tránh sai số</t>
  </si>
  <si>
    <t>Slide T13 (Chương 6: Hình học)</t>
  </si>
  <si>
    <t>struct P{ll x,y}, cross()</t>
  </si>
  <si>
    <t>long[] / record Point</t>
  </si>
  <si>
    <t>1232, 836, 812, 149</t>
  </si>
  <si>
    <t>Bao lồi &amp; cặp điểm gần nhất</t>
  </si>
  <si>
    <t>Graham scan / Monotone chain O(n log n); hình chữ nhật nhỏ nhất</t>
  </si>
  <si>
    <t>sort + cross</t>
  </si>
  <si>
    <t>Arrays.sort + cross</t>
  </si>
  <si>
    <t>587, 963, 939, 1401</t>
  </si>
  <si>
    <t>Quét đường (sweep line) &amp; truy vấn hình học</t>
  </si>
  <si>
    <t>Sự kiện + sắp xếp; đếm điểm trong hình tròn</t>
  </si>
  <si>
    <t>sort sự kiện</t>
  </si>
  <si>
    <t>2848, 1828</t>
  </si>
  <si>
    <t>Tìm kiếm mẫu: KMP &amp; hàm Z (Slide T14)</t>
  </si>
  <si>
    <t>Mảng pi / failure; Z-function; tiền tố-hậu tố; O(n+m)</t>
  </si>
  <si>
    <t>Slide T14 (Chương 7: Xâu)</t>
  </si>
  <si>
    <t>vector&lt;int&gt; pi</t>
  </si>
  <si>
    <t>int[] pi</t>
  </si>
  <si>
    <t>28, 459, 214, 686</t>
  </si>
  <si>
    <t>Rabin–Karp &amp; hashing xâu</t>
  </si>
  <si>
    <t>Hash đa thức, double hash; xâu con lặp; kết hợp nhị phân</t>
  </si>
  <si>
    <t>unsigned long long, mod</t>
  </si>
  <si>
    <t>long, mod, pow[]</t>
  </si>
  <si>
    <t>187, 1044, 1392</t>
  </si>
  <si>
    <t>Manacher, Trie, Aho–Corasick</t>
  </si>
  <si>
    <t>Palindrome O(n); tìm nhiều mẫu cùng lúc</t>
  </si>
  <si>
    <t>Trie + fail link</t>
  </si>
  <si>
    <t>336, 1032</t>
  </si>
  <si>
    <t>Ôn tập tuần 14: xâu</t>
  </si>
  <si>
    <t>Suffix array / automaton (tìm hiểu); hậu tố lớn nhất; đường con chung</t>
  </si>
  <si>
    <t>sort hậu tố</t>
  </si>
  <si>
    <t>1163, 1923</t>
  </si>
  <si>
    <t>NP-đầy đủ (Slide T15)</t>
  </si>
  <si>
    <t>P, NP, NP-khó; rút gọn đa thức; SAT, 3-SAT, Clique, Vertex Cover, Hamilton, TSP, Subset-Sum; heuristic / xấp xỉ</t>
  </si>
  <si>
    <t>Slide T15 (Chương 8: NP-đầy đủ)</t>
  </si>
  <si>
    <t>996</t>
  </si>
  <si>
    <t>Lập sơ đồ các phép rút gọn; đối chiếu slide tuần 15</t>
  </si>
  <si>
    <t>Tổng ôn 1: làm lại bài "Cần ôn" + mock contest</t>
  </si>
  <si>
    <t>Lọc sheet LeetCode: trạng thái "Cần ôn" hoặc số lần thử ≥ 3; thi thử 2 giờ: 2 Easy + 2 Medium + 1 Hard</t>
  </si>
  <si>
    <t>Mock contest: chọn bài chưa làm cùng chủ đề</t>
  </si>
  <si>
    <t>Tổng kết: mock contest 2, cheat-sheet, đánh giá</t>
  </si>
  <si>
    <t>Thi thử lần 2; hoàn thiện thư viện template C++/Java; viết nhận xét điểm mạnh / yếu</t>
  </si>
  <si>
    <t>Chọn lộ trình tiếp theo (Codeforces / AtCoder)</t>
  </si>
  <si>
    <t>DANH SÁCH BÀI LEETCODE THEO LỘ TRÌNH (338 bài)</t>
  </si>
  <si>
    <t>Cột Link chứa URL tìm kiếm LeetCode theo tên bài. Ô nền vàng = bạn nhập. Chu kỳ ôn lấy từ Dashboard!B5:B7.</t>
  </si>
  <si>
    <t>#</t>
  </si>
  <si>
    <t>Tên bài</t>
  </si>
  <si>
    <t>Link</t>
  </si>
  <si>
    <t>Ngày giải</t>
  </si>
  <si>
    <t>Số lần thử</t>
  </si>
  <si>
    <t>Ghi chú / ý tưởng / độ phức tạp</t>
  </si>
  <si>
    <t>Ôn lần 1</t>
  </si>
  <si>
    <t>Ôn lần 2</t>
  </si>
  <si>
    <t>Ôn lần 3</t>
  </si>
  <si>
    <t>Lần ôn kế tiếp</t>
  </si>
  <si>
    <t>Two Sum</t>
  </si>
  <si>
    <t>https://leetcode.com/problemset/?search=Two%20Sum</t>
  </si>
  <si>
    <t>Chưa làm</t>
  </si>
  <si>
    <t>Fizz Buzz</t>
  </si>
  <si>
    <t>https://leetcode.com/problemset/?search=Fizz%20Buzz</t>
  </si>
  <si>
    <t>Contains Duplicate</t>
  </si>
  <si>
    <t>https://leetcode.com/problemset/?search=Contains%20Duplicate</t>
  </si>
  <si>
    <t>Remove Duplicates from Sorted Array</t>
  </si>
  <si>
    <t>https://leetcode.com/problemset/?search=Remove%20Duplicates%20from%20Sorted%20Array</t>
  </si>
  <si>
    <t>Remove Element</t>
  </si>
  <si>
    <t>https://leetcode.com/problemset/?search=Remove%20Element</t>
  </si>
  <si>
    <t>Merge Sorted Array</t>
  </si>
  <si>
    <t>https://leetcode.com/problemset/?search=Merge%20Sorted%20Array</t>
  </si>
  <si>
    <t>Move Zeroes</t>
  </si>
  <si>
    <t>https://leetcode.com/problemset/?search=Move%20Zeroes</t>
  </si>
  <si>
    <t>Reverse String</t>
  </si>
  <si>
    <t>https://leetcode.com/problemset/?search=Reverse%20String</t>
  </si>
  <si>
    <t>Valid Palindrome</t>
  </si>
  <si>
    <t>https://leetcode.com/problemset/?search=Valid%20Palindrome</t>
  </si>
  <si>
    <t>Valid Anagram</t>
  </si>
  <si>
    <t>https://leetcode.com/problemset/?search=Valid%20Anagram</t>
  </si>
  <si>
    <t>Longest Common Prefix</t>
  </si>
  <si>
    <t>https://leetcode.com/problemset/?search=Longest%20Common%20Prefix</t>
  </si>
  <si>
    <t>Palindrome Number</t>
  </si>
  <si>
    <t>https://leetcode.com/problemset/?search=Palindrome%20Number</t>
  </si>
  <si>
    <t>Roman to Integer</t>
  </si>
  <si>
    <t>https://leetcode.com/problemset/?search=Roman%20to%20Integer</t>
  </si>
  <si>
    <t>Reverse Integer</t>
  </si>
  <si>
    <t>https://leetcode.com/problemset/?search=Reverse%20Integer</t>
  </si>
  <si>
    <t>Plus One</t>
  </si>
  <si>
    <t>https://leetcode.com/problemset/?search=Plus%20One</t>
  </si>
  <si>
    <t>Count Primes</t>
  </si>
  <si>
    <t>https://leetcode.com/problemset/?search=Count%20Primes</t>
  </si>
  <si>
    <t>Pow(x, n)</t>
  </si>
  <si>
    <t>https://leetcode.com/problemset/?search=Pow(x,%20n)</t>
  </si>
  <si>
    <t>Sqrt(x)</t>
  </si>
  <si>
    <t>https://leetcode.com/problemset/?search=Sqrt(x)</t>
  </si>
  <si>
    <t>Greatest Common Divisor of Strings</t>
  </si>
  <si>
    <t>https://leetcode.com/problemset/?search=Greatest%20Common%20Divisor%20of%20Strings</t>
  </si>
  <si>
    <t>Range Sum Query - Immutable</t>
  </si>
  <si>
    <t>https://leetcode.com/problemset/?search=Range%20Sum%20Query%20-%20Immutable</t>
  </si>
  <si>
    <t>Find Pivot Index</t>
  </si>
  <si>
    <t>https://leetcode.com/problemset/?search=Find%20Pivot%20Index</t>
  </si>
  <si>
    <t>Product of Array Except Self</t>
  </si>
  <si>
    <t>https://leetcode.com/problemset/?search=Product%20of%20Array%20Except%20Self</t>
  </si>
  <si>
    <t>Subarray Sum Equals K</t>
  </si>
  <si>
    <t>https://leetcode.com/problemset/?search=Subarray%20Sum%20Equals%20K</t>
  </si>
  <si>
    <t>Maximum Subarray</t>
  </si>
  <si>
    <t>https://leetcode.com/problemset/?search=Maximum%20Subarray</t>
  </si>
  <si>
    <t>Best Time to Buy and Sell Stock</t>
  </si>
  <si>
    <t>https://leetcode.com/problemset/?search=Best%20Time%20to%20Buy%20and%20Sell%20Stock</t>
  </si>
  <si>
    <t>Majority Element</t>
  </si>
  <si>
    <t>https://leetcode.com/problemset/?search=Majority%20Element</t>
  </si>
  <si>
    <t>Two Sum II - Input Array Is Sorted</t>
  </si>
  <si>
    <t>https://leetcode.com/problemset/?search=Two%20Sum%20II%20-%20Input%20Array%20Is%20Sorted</t>
  </si>
  <si>
    <t>3Sum</t>
  </si>
  <si>
    <t>https://leetcode.com/problemset/?search=3Sum</t>
  </si>
  <si>
    <t>Container With Most Water</t>
  </si>
  <si>
    <t>https://leetcode.com/problemset/?search=Container%20With%20Most%20Water</t>
  </si>
  <si>
    <t>Longest Substring Without Repeating Characters</t>
  </si>
  <si>
    <t>https://leetcode.com/problemset/?search=Longest%20Substring%20Without%20Repeating%20Characters</t>
  </si>
  <si>
    <t>Minimum Size Subarray Sum</t>
  </si>
  <si>
    <t>https://leetcode.com/problemset/?search=Minimum%20Size%20Subarray%20Sum</t>
  </si>
  <si>
    <t>Permutation in String</t>
  </si>
  <si>
    <t>https://leetcode.com/problemset/?search=Permutation%20in%20String</t>
  </si>
  <si>
    <t>Minimum Window Substring</t>
  </si>
  <si>
    <t>https://leetcode.com/problemset/?search=Minimum%20Window%20Substring</t>
  </si>
  <si>
    <t>Fibonacci Number</t>
  </si>
  <si>
    <t>https://leetcode.com/problemset/?search=Fibonacci%20Number</t>
  </si>
  <si>
    <t>Climbing Stairs</t>
  </si>
  <si>
    <t>https://leetcode.com/problemset/?search=Climbing%20Stairs</t>
  </si>
  <si>
    <t>Power of Two</t>
  </si>
  <si>
    <t>https://leetcode.com/problemset/?search=Power%20of%20Two</t>
  </si>
  <si>
    <t>K-th Symbol in Grammar</t>
  </si>
  <si>
    <t>https://leetcode.com/problemset/?search=K-th%20Symbol%20in%20Grammar</t>
  </si>
  <si>
    <t>Binary Search</t>
  </si>
  <si>
    <t>https://leetcode.com/problemset/?search=Binary%20Search</t>
  </si>
  <si>
    <t>Search Insert Position</t>
  </si>
  <si>
    <t>https://leetcode.com/problemset/?search=Search%20Insert%20Position</t>
  </si>
  <si>
    <t>Find First and Last Position of Element in Sorted Array</t>
  </si>
  <si>
    <t>https://leetcode.com/problemset/?search=Find%20First%20and%20Last%20Position%20of%20Element%20in%20Sorted%20Array</t>
  </si>
  <si>
    <t>Search a 2D Matrix</t>
  </si>
  <si>
    <t>https://leetcode.com/problemset/?search=Search%20a%202D%20Matrix</t>
  </si>
  <si>
    <t>Search in Rotated Sorted Array</t>
  </si>
  <si>
    <t>https://leetcode.com/problemset/?search=Search%20in%20Rotated%20Sorted%20Array</t>
  </si>
  <si>
    <t>Find Minimum in Rotated Sorted Array</t>
  </si>
  <si>
    <t>https://leetcode.com/problemset/?search=Find%20Minimum%20in%20Rotated%20Sorted%20Array</t>
  </si>
  <si>
    <t>Koko Eating Bananas</t>
  </si>
  <si>
    <t>https://leetcode.com/problemset/?search=Koko%20Eating%20Bananas</t>
  </si>
  <si>
    <t>Median of Two Sorted Arrays</t>
  </si>
  <si>
    <t>https://leetcode.com/problemset/?search=Median%20of%20Two%20Sorted%20Arrays</t>
  </si>
  <si>
    <t>Sort an Array</t>
  </si>
  <si>
    <t>https://leetcode.com/problemset/?search=Sort%20an%20Array</t>
  </si>
  <si>
    <t>Sort Colors</t>
  </si>
  <si>
    <t>https://leetcode.com/problemset/?search=Sort%20Colors</t>
  </si>
  <si>
    <t>Kth Largest Element in an Array</t>
  </si>
  <si>
    <t>https://leetcode.com/problemset/?search=Kth%20Largest%20Element%20in%20an%20Array</t>
  </si>
  <si>
    <t>Merge Intervals</t>
  </si>
  <si>
    <t>https://leetcode.com/problemset/?search=Merge%20Intervals</t>
  </si>
  <si>
    <t>Rotate Array</t>
  </si>
  <si>
    <t>https://leetcode.com/problemset/?search=Rotate%20Array</t>
  </si>
  <si>
    <t>Rotate Image</t>
  </si>
  <si>
    <t>https://leetcode.com/problemset/?search=Rotate%20Image</t>
  </si>
  <si>
    <t>Spiral Matrix</t>
  </si>
  <si>
    <t>https://leetcode.com/problemset/?search=Spiral%20Matrix</t>
  </si>
  <si>
    <t>Set Matrix Zeroes</t>
  </si>
  <si>
    <t>https://leetcode.com/problemset/?search=Set%20Matrix%20Zeroes</t>
  </si>
  <si>
    <t>Valid Parentheses</t>
  </si>
  <si>
    <t>https://leetcode.com/problemset/?search=Valid%20Parentheses</t>
  </si>
  <si>
    <t>Min Stack</t>
  </si>
  <si>
    <t>https://leetcode.com/problemset/?search=Min%20Stack</t>
  </si>
  <si>
    <t>Evaluate Reverse Polish Notation</t>
  </si>
  <si>
    <t>https://leetcode.com/problemset/?search=Evaluate%20Reverse%20Polish%20Notation</t>
  </si>
  <si>
    <t>Simplify Path</t>
  </si>
  <si>
    <t>https://leetcode.com/problemset/?search=Simplify%20Path</t>
  </si>
  <si>
    <t>Daily Temperatures</t>
  </si>
  <si>
    <t>https://leetcode.com/problemset/?search=Daily%20Temperatures</t>
  </si>
  <si>
    <t>Next Greater Element I</t>
  </si>
  <si>
    <t>https://leetcode.com/problemset/?search=Next%20Greater%20Element%20I</t>
  </si>
  <si>
    <t>Next Greater Element II</t>
  </si>
  <si>
    <t>https://leetcode.com/problemset/?search=Next%20Greater%20Element%20II</t>
  </si>
  <si>
    <t>Largest Rectangle in Histogram</t>
  </si>
  <si>
    <t>https://leetcode.com/problemset/?search=Largest%20Rectangle%20in%20Histogram</t>
  </si>
  <si>
    <t>Implement Queue using Stacks</t>
  </si>
  <si>
    <t>https://leetcode.com/problemset/?search=Implement%20Queue%20using%20Stacks</t>
  </si>
  <si>
    <t>Implement Stack using Queues</t>
  </si>
  <si>
    <t>https://leetcode.com/problemset/?search=Implement%20Stack%20using%20Queues</t>
  </si>
  <si>
    <t>Design Circular Queue</t>
  </si>
  <si>
    <t>https://leetcode.com/problemset/?search=Design%20Circular%20Queue</t>
  </si>
  <si>
    <t>Sliding Window Maximum</t>
  </si>
  <si>
    <t>https://leetcode.com/problemset/?search=Sliding%20Window%20Maximum</t>
  </si>
  <si>
    <t>Reverse Linked List</t>
  </si>
  <si>
    <t>https://leetcode.com/problemset/?search=Reverse%20Linked%20List</t>
  </si>
  <si>
    <t>Merge Two Sorted Lists</t>
  </si>
  <si>
    <t>https://leetcode.com/problemset/?search=Merge%20Two%20Sorted%20Lists</t>
  </si>
  <si>
    <t>Linked List Cycle</t>
  </si>
  <si>
    <t>https://leetcode.com/problemset/?search=Linked%20List%20Cycle</t>
  </si>
  <si>
    <t>Linked List Cycle II</t>
  </si>
  <si>
    <t>https://leetcode.com/problemset/?search=Linked%20List%20Cycle%20II</t>
  </si>
  <si>
    <t>Remove Nth Node From End of List</t>
  </si>
  <si>
    <t>https://leetcode.com/problemset/?search=Remove%20Nth%20Node%20From%20End%20of%20List</t>
  </si>
  <si>
    <t>Add Two Numbers</t>
  </si>
  <si>
    <t>https://leetcode.com/problemset/?search=Add%20Two%20Numbers</t>
  </si>
  <si>
    <t>Reorder List</t>
  </si>
  <si>
    <t>https://leetcode.com/problemset/?search=Reorder%20List</t>
  </si>
  <si>
    <t>Copy List with Random Pointer</t>
  </si>
  <si>
    <t>https://leetcode.com/problemset/?search=Copy%20List%20with%20Random%20Pointer</t>
  </si>
  <si>
    <t>Group Anagrams</t>
  </si>
  <si>
    <t>https://leetcode.com/problemset/?search=Group%20Anagrams</t>
  </si>
  <si>
    <t>Longest Consecutive Sequence</t>
  </si>
  <si>
    <t>https://leetcode.com/problemset/?search=Longest%20Consecutive%20Sequence</t>
  </si>
  <si>
    <t>Top K Frequent Elements</t>
  </si>
  <si>
    <t>https://leetcode.com/problemset/?search=Top%20K%20Frequent%20Elements</t>
  </si>
  <si>
    <t>4Sum II</t>
  </si>
  <si>
    <t>https://leetcode.com/problemset/?search=4Sum%20II</t>
  </si>
  <si>
    <t>LRU Cache</t>
  </si>
  <si>
    <t>https://leetcode.com/problemset/?search=LRU%20Cache</t>
  </si>
  <si>
    <t>Design HashMap</t>
  </si>
  <si>
    <t>https://leetcode.com/problemset/?search=Design%20HashMap</t>
  </si>
  <si>
    <t>Merge k Sorted Lists</t>
  </si>
  <si>
    <t>https://leetcode.com/problemset/?search=Merge%20k%20Sorted%20Lists</t>
  </si>
  <si>
    <t>Kth Largest Element in a Stream</t>
  </si>
  <si>
    <t>https://leetcode.com/problemset/?search=Kth%20Largest%20Element%20in%20a%20Stream</t>
  </si>
  <si>
    <t>Last Stone Weight</t>
  </si>
  <si>
    <t>https://leetcode.com/problemset/?search=Last%20Stone%20Weight</t>
  </si>
  <si>
    <t>K Closest Points to Origin</t>
  </si>
  <si>
    <t>https://leetcode.com/problemset/?search=K%20Closest%20Points%20to%20Origin</t>
  </si>
  <si>
    <t>Find Median from Data Stream</t>
  </si>
  <si>
    <t>https://leetcode.com/problemset/?search=Find%20Median%20from%20Data%20Stream</t>
  </si>
  <si>
    <t>Binary Tree Inorder Traversal</t>
  </si>
  <si>
    <t>https://leetcode.com/problemset/?search=Binary%20Tree%20Inorder%20Traversal</t>
  </si>
  <si>
    <t>Binary Tree Level Order Traversal</t>
  </si>
  <si>
    <t>https://leetcode.com/problemset/?search=Binary%20Tree%20Level%20Order%20Traversal</t>
  </si>
  <si>
    <t>Maximum Depth of Binary Tree</t>
  </si>
  <si>
    <t>https://leetcode.com/problemset/?search=Maximum%20Depth%20of%20Binary%20Tree</t>
  </si>
  <si>
    <t>Invert Binary Tree</t>
  </si>
  <si>
    <t>https://leetcode.com/problemset/?search=Invert%20Binary%20Tree</t>
  </si>
  <si>
    <t>Validate Binary Search Tree</t>
  </si>
  <si>
    <t>https://leetcode.com/problemset/?search=Validate%20Binary%20Search%20Tree</t>
  </si>
  <si>
    <t>Kth Smallest Element in a BST</t>
  </si>
  <si>
    <t>https://leetcode.com/problemset/?search=Kth%20Smallest%20Element%20in%20a%20BST</t>
  </si>
  <si>
    <t>Lowest Common Ancestor of a Binary Search Tree</t>
  </si>
  <si>
    <t>https://leetcode.com/problemset/?search=Lowest%20Common%20Ancestor%20of%20a%20Binary%20Search%20Tree</t>
  </si>
  <si>
    <t>Lowest Common Ancestor of a Binary Tree</t>
  </si>
  <si>
    <t>https://leetcode.com/problemset/?search=Lowest%20Common%20Ancestor%20of%20a%20Binary%20Tree</t>
  </si>
  <si>
    <t>Construct Binary Tree from Preorder and Inorder Traversal</t>
  </si>
  <si>
    <t>https://leetcode.com/problemset/?search=Construct%20Binary%20Tree%20from%20Preorder%20and%20Inorder%20Traversal</t>
  </si>
  <si>
    <t>Serialize and Deserialize Binary Tree</t>
  </si>
  <si>
    <t>https://leetcode.com/problemset/?search=Serialize%20and%20Deserialize%20Binary%20Tree</t>
  </si>
  <si>
    <t>Subtree of Another Tree</t>
  </si>
  <si>
    <t>https://leetcode.com/problemset/?search=Subtree%20of%20Another%20Tree</t>
  </si>
  <si>
    <t>Symmetric Tree</t>
  </si>
  <si>
    <t>https://leetcode.com/problemset/?search=Symmetric%20Tree</t>
  </si>
  <si>
    <t>Implement Trie (Prefix Tree)</t>
  </si>
  <si>
    <t>https://leetcode.com/problemset/?search=Implement%20Trie%20(Prefix%20Tree)</t>
  </si>
  <si>
    <t>Design Add and Search Words Data Structure</t>
  </si>
  <si>
    <t>https://leetcode.com/problemset/?search=Design%20Add%20and%20Search%20Words%20Data%20Structure</t>
  </si>
  <si>
    <t>Word Search II</t>
  </si>
  <si>
    <t>https://leetcode.com/problemset/?search=Word%20Search%20II</t>
  </si>
  <si>
    <t>Number of Provinces</t>
  </si>
  <si>
    <t>https://leetcode.com/problemset/?search=Number%20of%20Provinces</t>
  </si>
  <si>
    <t>Redundant Connection</t>
  </si>
  <si>
    <t>https://leetcode.com/problemset/?search=Redundant%20Connection</t>
  </si>
  <si>
    <t>Accounts Merge</t>
  </si>
  <si>
    <t>https://leetcode.com/problemset/?search=Accounts%20Merge</t>
  </si>
  <si>
    <t>Satisfiability of Equality Equations</t>
  </si>
  <si>
    <t>https://leetcode.com/problemset/?search=Satisfiability%20of%20Equality%20Equations</t>
  </si>
  <si>
    <t>Number of Operations to Make Network Connected</t>
  </si>
  <si>
    <t>https://leetcode.com/problemset/?search=Number%20of%20Operations%20to%20Make%20Network%20Connected</t>
  </si>
  <si>
    <t>Minimize Hamming Distance After Swap Operations</t>
  </si>
  <si>
    <t>https://leetcode.com/problemset/?search=Minimize%20Hamming%20Distance%20After%20Swap%20Operations</t>
  </si>
  <si>
    <t>Insert Delete GetRandom O(1)</t>
  </si>
  <si>
    <t>https://leetcode.com/problemset/?search=Insert%20Delete%20GetRandom%20O(1)</t>
  </si>
  <si>
    <t>Longest Continuous Subarray With Absolute Diff Less Than or Equal to Limit</t>
  </si>
  <si>
    <t>https://leetcode.com/problemset/?search=Longest%20Continuous%20Subarray%20With%20Absolute%20Diff%20Less%20Than%20or%20Equal%20to%20Limit</t>
  </si>
  <si>
    <t>Maximum Subarray Min-Product</t>
  </si>
  <si>
    <t>https://leetcode.com/problemset/?search=Maximum%20Subarray%20Min-Product</t>
  </si>
  <si>
    <t>Sum of Subarray Ranges</t>
  </si>
  <si>
    <t>https://leetcode.com/problemset/?search=Sum%20of%20Subarray%20Ranges</t>
  </si>
  <si>
    <t>Sum of Subarray Minimums</t>
  </si>
  <si>
    <t>https://leetcode.com/problemset/?search=Sum%20of%20Subarray%20Minimums</t>
  </si>
  <si>
    <t>Kth Ancestor of a Tree Node</t>
  </si>
  <si>
    <t>https://leetcode.com/problemset/?search=Kth%20Ancestor%20of%20a%20Tree%20Node</t>
  </si>
  <si>
    <t>Online Majority Element In Subarray</t>
  </si>
  <si>
    <t>https://leetcode.com/problemset/?search=Online%20Majority%20Element%20In%20Subarray</t>
  </si>
  <si>
    <t>Maximum Number of Robots Within Budget</t>
  </si>
  <si>
    <t>https://leetcode.com/problemset/?search=Maximum%20Number%20of%20Robots%20Within%20Budget</t>
  </si>
  <si>
    <t>Range Sum Query - Mutable</t>
  </si>
  <si>
    <t>https://leetcode.com/problemset/?search=Range%20Sum%20Query%20-%20Mutable</t>
  </si>
  <si>
    <t>Count of Smaller Numbers After Self</t>
  </si>
  <si>
    <t>https://leetcode.com/problemset/?search=Count%20of%20Smaller%20Numbers%20After%20Self</t>
  </si>
  <si>
    <t>Falling Squares</t>
  </si>
  <si>
    <t>https://leetcode.com/problemset/?search=Falling%20Squares</t>
  </si>
  <si>
    <t>The Skyline Problem</t>
  </si>
  <si>
    <t>https://leetcode.com/problemset/?search=The%20Skyline%20Problem</t>
  </si>
  <si>
    <t>Create Sorted Array through Instructions</t>
  </si>
  <si>
    <t>https://leetcode.com/problemset/?search=Create%20Sorted%20Array%20through%20Instructions</t>
  </si>
  <si>
    <t>Reverse Pairs</t>
  </si>
  <si>
    <t>https://leetcode.com/problemset/?search=Reverse%20Pairs</t>
  </si>
  <si>
    <t>Count of Range Sum</t>
  </si>
  <si>
    <t>https://leetcode.com/problemset/?search=Count%20of%20Range%20Sum</t>
  </si>
  <si>
    <t>Longest Increasing Subsequence II</t>
  </si>
  <si>
    <t>https://leetcode.com/problemset/?search=Longest%20Increasing%20Subsequence%20II</t>
  </si>
  <si>
    <t>Count Integers in Intervals</t>
  </si>
  <si>
    <t>https://leetcode.com/problemset/?search=Count%20Integers%20in%20Intervals</t>
  </si>
  <si>
    <t>Count Good Triplets in an Array</t>
  </si>
  <si>
    <t>https://leetcode.com/problemset/?search=Count%20Good%20Triplets%20in%20an%20Array</t>
  </si>
  <si>
    <t>Subsets</t>
  </si>
  <si>
    <t>https://leetcode.com/problemset/?search=Subsets</t>
  </si>
  <si>
    <t>Subsets II</t>
  </si>
  <si>
    <t>https://leetcode.com/problemset/?search=Subsets%20II</t>
  </si>
  <si>
    <t>Permutations</t>
  </si>
  <si>
    <t>https://leetcode.com/problemset/?search=Permutations</t>
  </si>
  <si>
    <t>Permutations II</t>
  </si>
  <si>
    <t>https://leetcode.com/problemset/?search=Permutations%20II</t>
  </si>
  <si>
    <t>Combinations</t>
  </si>
  <si>
    <t>https://leetcode.com/problemset/?search=Combinations</t>
  </si>
  <si>
    <t>Combination Sum</t>
  </si>
  <si>
    <t>https://leetcode.com/problemset/?search=Combination%20Sum</t>
  </si>
  <si>
    <t>Combination Sum II</t>
  </si>
  <si>
    <t>https://leetcode.com/problemset/?search=Combination%20Sum%20II</t>
  </si>
  <si>
    <t>Combination Sum III</t>
  </si>
  <si>
    <t>https://leetcode.com/problemset/?search=Combination%20Sum%20III</t>
  </si>
  <si>
    <t>Letter Combinations of a Phone Number</t>
  </si>
  <si>
    <t>https://leetcode.com/problemset/?search=Letter%20Combinations%20of%20a%20Phone%20Number</t>
  </si>
  <si>
    <t>Generate Parentheses</t>
  </si>
  <si>
    <t>https://leetcode.com/problemset/?search=Generate%20Parentheses</t>
  </si>
  <si>
    <t>Word Search</t>
  </si>
  <si>
    <t>https://leetcode.com/problemset/?search=Word%20Search</t>
  </si>
  <si>
    <t>Palindrome Partitioning</t>
  </si>
  <si>
    <t>https://leetcode.com/problemset/?search=Palindrome%20Partitioning</t>
  </si>
  <si>
    <t>N-Queens</t>
  </si>
  <si>
    <t>https://leetcode.com/problemset/?search=N-Queens</t>
  </si>
  <si>
    <t>N-Queens II</t>
  </si>
  <si>
    <t>https://leetcode.com/problemset/?search=N-Queens%20II</t>
  </si>
  <si>
    <t>Sudoku Solver</t>
  </si>
  <si>
    <t>https://leetcode.com/problemset/?search=Sudoku%20Solver</t>
  </si>
  <si>
    <t>Restore IP Addresses</t>
  </si>
  <si>
    <t>https://leetcode.com/problemset/?search=Restore%20IP%20Addresses</t>
  </si>
  <si>
    <t>Partition to K Equal Sum Subsets</t>
  </si>
  <si>
    <t>https://leetcode.com/problemset/?search=Partition%20to%20K%20Equal%20Sum%20Subsets</t>
  </si>
  <si>
    <t>Matchsticks to Square</t>
  </si>
  <si>
    <t>https://leetcode.com/problemset/?search=Matchsticks%20to%20Square</t>
  </si>
  <si>
    <t>Fair Distribution of Cookies</t>
  </si>
  <si>
    <t>https://leetcode.com/problemset/?search=Fair%20Distribution%20of%20Cookies</t>
  </si>
  <si>
    <t>Maximum Length of a Concatenated String with Unique Characters</t>
  </si>
  <si>
    <t>https://leetcode.com/problemset/?search=Maximum%20Length%20of%20a%20Concatenated%20String%20with%20Unique%20Characters</t>
  </si>
  <si>
    <t>Shortest Path Visiting All Nodes</t>
  </si>
  <si>
    <t>https://leetcode.com/problemset/?search=Shortest%20Path%20Visiting%20All%20Nodes</t>
  </si>
  <si>
    <t>Find the Shortest Superstring</t>
  </si>
  <si>
    <t>https://leetcode.com/problemset/?search=Find%20the%20Shortest%20Superstring</t>
  </si>
  <si>
    <t>Find Minimum Time to Finish All Jobs</t>
  </si>
  <si>
    <t>https://leetcode.com/problemset/?search=Find%20Minimum%20Time%20to%20Finish%20All%20Jobs</t>
  </si>
  <si>
    <t>Count All Valid Pickup and Delivery Options</t>
  </si>
  <si>
    <t>https://leetcode.com/problemset/?search=Count%20All%20Valid%20Pickup%20and%20Delivery%20Options</t>
  </si>
  <si>
    <t>Minimum Number of Work Sessions to Finish the Tasks</t>
  </si>
  <si>
    <t>https://leetcode.com/problemset/?search=Minimum%20Number%20of%20Work%20Sessions%20to%20Finish%20the%20Tasks</t>
  </si>
  <si>
    <t>Minimum XOR Sum of Two Arrays</t>
  </si>
  <si>
    <t>https://leetcode.com/problemset/?search=Minimum%20XOR%20Sum%20of%20Two%20Arrays</t>
  </si>
  <si>
    <t>Perfect Rectangle</t>
  </si>
  <si>
    <t>https://leetcode.com/problemset/?search=Perfect%20Rectangle</t>
  </si>
  <si>
    <t>Rectangle Area</t>
  </si>
  <si>
    <t>https://leetcode.com/problemset/?search=Rectangle%20Area</t>
  </si>
  <si>
    <t>Rectangle Area II</t>
  </si>
  <si>
    <t>https://leetcode.com/problemset/?search=Rectangle%20Area%20II</t>
  </si>
  <si>
    <t>Smallest Sufficient Team</t>
  </si>
  <si>
    <t>https://leetcode.com/problemset/?search=Smallest%20Sufficient%20Team</t>
  </si>
  <si>
    <t>Minimum Cost to Connect Two Groups of Points</t>
  </si>
  <si>
    <t>https://leetcode.com/problemset/?search=Minimum%20Cost%20to%20Connect%20Two%20Groups%20of%20Points</t>
  </si>
  <si>
    <t>Maximum AND Sum of Array</t>
  </si>
  <si>
    <t>https://leetcode.com/problemset/?search=Maximum%20AND%20Sum%20of%20Array</t>
  </si>
  <si>
    <t>The Number of Beautiful Subsets</t>
  </si>
  <si>
    <t>https://leetcode.com/problemset/?search=The%20Number%20of%20Beautiful%20Subsets</t>
  </si>
  <si>
    <t>Maximum Score Words Formed by Letters</t>
  </si>
  <si>
    <t>https://leetcode.com/problemset/?search=Maximum%20Score%20Words%20Formed%20by%20Letters</t>
  </si>
  <si>
    <t>Assign Cookies</t>
  </si>
  <si>
    <t>https://leetcode.com/problemset/?search=Assign%20Cookies</t>
  </si>
  <si>
    <t>Lemonade Change</t>
  </si>
  <si>
    <t>https://leetcode.com/problemset/?search=Lemonade%20Change</t>
  </si>
  <si>
    <t>Can Place Flowers</t>
  </si>
  <si>
    <t>https://leetcode.com/problemset/?search=Can%20Place%20Flowers</t>
  </si>
  <si>
    <t>Maximize Sum Of Array After K Negations</t>
  </si>
  <si>
    <t>https://leetcode.com/problemset/?search=Maximize%20Sum%20Of%20Array%20After%20K%20Negations</t>
  </si>
  <si>
    <t>Best Time to Buy and Sell Stock II</t>
  </si>
  <si>
    <t>https://leetcode.com/problemset/?search=Best%20Time%20to%20Buy%20and%20Sell%20Stock%20II</t>
  </si>
  <si>
    <t>Jump Game</t>
  </si>
  <si>
    <t>https://leetcode.com/problemset/?search=Jump%20Game</t>
  </si>
  <si>
    <t>Jump Game II</t>
  </si>
  <si>
    <t>https://leetcode.com/problemset/?search=Jump%20Game%20II</t>
  </si>
  <si>
    <t>Gas Station</t>
  </si>
  <si>
    <t>https://leetcode.com/problemset/?search=Gas%20Station</t>
  </si>
  <si>
    <t>Non-overlapping Intervals</t>
  </si>
  <si>
    <t>https://leetcode.com/problemset/?search=Non-overlapping%20Intervals</t>
  </si>
  <si>
    <t>Minimum Number of Arrows to Burst Balloons</t>
  </si>
  <si>
    <t>https://leetcode.com/problemset/?search=Minimum%20Number%20of%20Arrows%20to%20Burst%20Balloons</t>
  </si>
  <si>
    <t>Maximum Number of Events That Can Be Attended</t>
  </si>
  <si>
    <t>https://leetcode.com/problemset/?search=Maximum%20Number%20of%20Events%20That%20Can%20Be%20Attended</t>
  </si>
  <si>
    <t>Partition Labels</t>
  </si>
  <si>
    <t>https://leetcode.com/problemset/?search=Partition%20Labels</t>
  </si>
  <si>
    <t>Queue Reconstruction by Height</t>
  </si>
  <si>
    <t>https://leetcode.com/problemset/?search=Queue%20Reconstruction%20by%20Height</t>
  </si>
  <si>
    <t>Two City Scheduling</t>
  </si>
  <si>
    <t>https://leetcode.com/problemset/?search=Two%20City%20Scheduling</t>
  </si>
  <si>
    <t>Boats to Save People</t>
  </si>
  <si>
    <t>https://leetcode.com/problemset/?search=Boats%20to%20Save%20People</t>
  </si>
  <si>
    <t>Maximum Units on a Truck</t>
  </si>
  <si>
    <t>https://leetcode.com/problemset/?search=Maximum%20Units%20on%20a%20Truck</t>
  </si>
  <si>
    <t>Candy</t>
  </si>
  <si>
    <t>https://leetcode.com/problemset/?search=Candy</t>
  </si>
  <si>
    <t>Reorganize String</t>
  </si>
  <si>
    <t>https://leetcode.com/problemset/?search=Reorganize%20String</t>
  </si>
  <si>
    <t>IPO</t>
  </si>
  <si>
    <t>https://leetcode.com/problemset/?search=IPO</t>
  </si>
  <si>
    <t>Furthest Building You Can Reach</t>
  </si>
  <si>
    <t>https://leetcode.com/problemset/?search=Furthest%20Building%20You%20Can%20Reach</t>
  </si>
  <si>
    <t>Remove K Digits</t>
  </si>
  <si>
    <t>https://leetcode.com/problemset/?search=Remove%20K%20Digits</t>
  </si>
  <si>
    <t>Remove Duplicate Letters</t>
  </si>
  <si>
    <t>https://leetcode.com/problemset/?search=Remove%20Duplicate%20Letters</t>
  </si>
  <si>
    <t>Monotone Increasing Digits</t>
  </si>
  <si>
    <t>https://leetcode.com/problemset/?search=Monotone%20Increasing%20Digits</t>
  </si>
  <si>
    <t>Patching Array</t>
  </si>
  <si>
    <t>https://leetcode.com/problemset/?search=Patching%20Array</t>
  </si>
  <si>
    <t>Min Cost to Connect All Points</t>
  </si>
  <si>
    <t>https://leetcode.com/problemset/?search=Min%20Cost%20to%20Connect%20All%20Points</t>
  </si>
  <si>
    <t>Network Delay Time</t>
  </si>
  <si>
    <t>https://leetcode.com/problemset/?search=Network%20Delay%20Time</t>
  </si>
  <si>
    <t>Score After Flipping Matrix</t>
  </si>
  <si>
    <t>https://leetcode.com/problemset/?search=Score%20After%20Flipping%20Matrix</t>
  </si>
  <si>
    <t>Sort List</t>
  </si>
  <si>
    <t>https://leetcode.com/problemset/?search=Sort%20List</t>
  </si>
  <si>
    <t>Convert Sorted Array to Binary Search Tree</t>
  </si>
  <si>
    <t>https://leetcode.com/problemset/?search=Convert%20Sorted%20Array%20to%20Binary%20Search%20Tree</t>
  </si>
  <si>
    <t>Convert Sorted List to Binary Search Tree</t>
  </si>
  <si>
    <t>https://leetcode.com/problemset/?search=Convert%20Sorted%20List%20to%20Binary%20Search%20Tree</t>
  </si>
  <si>
    <t>Construct Binary Tree from Inorder and Postorder Traversal</t>
  </si>
  <si>
    <t>https://leetcode.com/problemset/?search=Construct%20Binary%20Tree%20from%20Inorder%20and%20Postorder%20Traversal</t>
  </si>
  <si>
    <t>Super Pow</t>
  </si>
  <si>
    <t>https://leetcode.com/problemset/?search=Super%20Pow</t>
  </si>
  <si>
    <t>Different Ways to Add Parentheses</t>
  </si>
  <si>
    <t>https://leetcode.com/problemset/?search=Different%20Ways%20to%20Add%20Parentheses</t>
  </si>
  <si>
    <t>Unique Binary Search Trees II</t>
  </si>
  <si>
    <t>https://leetcode.com/problemset/?search=Unique%20Binary%20Search%20Trees%20II</t>
  </si>
  <si>
    <t>Longest Substring with At Least K Repeating Characters</t>
  </si>
  <si>
    <t>https://leetcode.com/problemset/?search=Longest%20Substring%20with%20At%20Least%20K%20Repeating%20Characters</t>
  </si>
  <si>
    <t>Search a 2D Matrix II</t>
  </si>
  <si>
    <t>https://leetcode.com/problemset/?search=Search%20a%202D%20Matrix%20II</t>
  </si>
  <si>
    <t>Construct Quad Tree</t>
  </si>
  <si>
    <t>https://leetcode.com/problemset/?search=Construct%20Quad%20Tree</t>
  </si>
  <si>
    <t>Beautiful Array</t>
  </si>
  <si>
    <t>https://leetcode.com/problemset/?search=Beautiful%20Array</t>
  </si>
  <si>
    <t>Burst Balloons</t>
  </si>
  <si>
    <t>https://leetcode.com/problemset/?search=Burst%20Balloons</t>
  </si>
  <si>
    <t>Construct Binary Tree from Preorder and Postorder Traversal</t>
  </si>
  <si>
    <t>https://leetcode.com/problemset/?search=Construct%20Binary%20Tree%20from%20Preorder%20and%20Postorder%20Traversal</t>
  </si>
  <si>
    <t>Maximum Binary Tree</t>
  </si>
  <si>
    <t>https://leetcode.com/problemset/?search=Maximum%20Binary%20Tree</t>
  </si>
  <si>
    <t>Find K Closest Elements</t>
  </si>
  <si>
    <t>https://leetcode.com/problemset/?search=Find%20K%20Closest%20Elements</t>
  </si>
  <si>
    <t>Find Peak Element</t>
  </si>
  <si>
    <t>https://leetcode.com/problemset/?search=Find%20Peak%20Element</t>
  </si>
  <si>
    <t>Find the Duplicate Number</t>
  </si>
  <si>
    <t>https://leetcode.com/problemset/?search=Find%20the%20Duplicate%20Number</t>
  </si>
  <si>
    <t>Min Cost Climbing Stairs</t>
  </si>
  <si>
    <t>https://leetcode.com/problemset/?search=Min%20Cost%20Climbing%20Stairs</t>
  </si>
  <si>
    <t>House Robber</t>
  </si>
  <si>
    <t>https://leetcode.com/problemset/?search=House%20Robber</t>
  </si>
  <si>
    <t>House Robber II</t>
  </si>
  <si>
    <t>https://leetcode.com/problemset/?search=House%20Robber%20II</t>
  </si>
  <si>
    <t>Delete and Earn</t>
  </si>
  <si>
    <t>https://leetcode.com/problemset/?search=Delete%20and%20Earn</t>
  </si>
  <si>
    <t>Decode Ways</t>
  </si>
  <si>
    <t>https://leetcode.com/problemset/?search=Decode%20Ways</t>
  </si>
  <si>
    <t>Word Break</t>
  </si>
  <si>
    <t>https://leetcode.com/problemset/?search=Word%20Break</t>
  </si>
  <si>
    <t>Coin Change</t>
  </si>
  <si>
    <t>https://leetcode.com/problemset/?search=Coin%20Change</t>
  </si>
  <si>
    <t>Coin Change II</t>
  </si>
  <si>
    <t>https://leetcode.com/problemset/?search=Coin%20Change%20II</t>
  </si>
  <si>
    <t>Longest Increasing Subsequence</t>
  </si>
  <si>
    <t>https://leetcode.com/problemset/?search=Longest%20Increasing%20Subsequence</t>
  </si>
  <si>
    <t>Number of Longest Increasing Subsequence</t>
  </si>
  <si>
    <t>https://leetcode.com/problemset/?search=Number%20of%20Longest%20Increasing%20Subsequence</t>
  </si>
  <si>
    <t>Russian Doll Envelopes</t>
  </si>
  <si>
    <t>https://leetcode.com/problemset/?search=Russian%20Doll%20Envelopes</t>
  </si>
  <si>
    <t>Maximum Product Subarray</t>
  </si>
  <si>
    <t>https://leetcode.com/problemset/?search=Maximum%20Product%20Subarray</t>
  </si>
  <si>
    <t>Unique Paths</t>
  </si>
  <si>
    <t>https://leetcode.com/problemset/?search=Unique%20Paths</t>
  </si>
  <si>
    <t>Unique Paths II</t>
  </si>
  <si>
    <t>https://leetcode.com/problemset/?search=Unique%20Paths%20II</t>
  </si>
  <si>
    <t>Minimum Path Sum</t>
  </si>
  <si>
    <t>https://leetcode.com/problemset/?search=Minimum%20Path%20Sum</t>
  </si>
  <si>
    <t>Triangle</t>
  </si>
  <si>
    <t>https://leetcode.com/problemset/?search=Triangle</t>
  </si>
  <si>
    <t>Minimum Falling Path Sum</t>
  </si>
  <si>
    <t>https://leetcode.com/problemset/?search=Minimum%20Falling%20Path%20Sum</t>
  </si>
  <si>
    <t>Maximal Square</t>
  </si>
  <si>
    <t>https://leetcode.com/problemset/?search=Maximal%20Square</t>
  </si>
  <si>
    <t>Maximal Rectangle</t>
  </si>
  <si>
    <t>https://leetcode.com/problemset/?search=Maximal%20Rectangle</t>
  </si>
  <si>
    <t>Dungeon Game</t>
  </si>
  <si>
    <t>https://leetcode.com/problemset/?search=Dungeon%20Game</t>
  </si>
  <si>
    <t>Cherry Pickup</t>
  </si>
  <si>
    <t>https://leetcode.com/problemset/?search=Cherry%20Pickup</t>
  </si>
  <si>
    <t>Perfect Squares</t>
  </si>
  <si>
    <t>https://leetcode.com/problemset/?search=Perfect%20Squares</t>
  </si>
  <si>
    <t>Combination Sum IV</t>
  </si>
  <si>
    <t>https://leetcode.com/problemset/?search=Combination%20Sum%20IV</t>
  </si>
  <si>
    <t>Partition Equal Subset Sum</t>
  </si>
  <si>
    <t>https://leetcode.com/problemset/?search=Partition%20Equal%20Subset%20Sum</t>
  </si>
  <si>
    <t>Target Sum</t>
  </si>
  <si>
    <t>https://leetcode.com/problemset/?search=Target%20Sum</t>
  </si>
  <si>
    <t>Ones and Zeroes</t>
  </si>
  <si>
    <t>https://leetcode.com/problemset/?search=Ones%20and%20Zeroes</t>
  </si>
  <si>
    <t>Last Stone Weight II</t>
  </si>
  <si>
    <t>https://leetcode.com/problemset/?search=Last%20Stone%20Weight%20II</t>
  </si>
  <si>
    <t>Profitable Schemes</t>
  </si>
  <si>
    <t>https://leetcode.com/problemset/?search=Profitable%20Schemes</t>
  </si>
  <si>
    <t>Number of Ways to Earn Points</t>
  </si>
  <si>
    <t>https://leetcode.com/problemset/?search=Number%20of%20Ways%20to%20Earn%20Points</t>
  </si>
  <si>
    <t>Number of Dice Rolls With Target Sum</t>
  </si>
  <si>
    <t>https://leetcode.com/problemset/?search=Number%20of%20Dice%20Rolls%20With%20Target%20Sum</t>
  </si>
  <si>
    <t>Unique Binary Search Trees</t>
  </si>
  <si>
    <t>https://leetcode.com/problemset/?search=Unique%20Binary%20Search%20Trees</t>
  </si>
  <si>
    <t>Longest Common Subsequence</t>
  </si>
  <si>
    <t>https://leetcode.com/problemset/?search=Longest%20Common%20Subsequence</t>
  </si>
  <si>
    <t>Edit Distance</t>
  </si>
  <si>
    <t>https://leetcode.com/problemset/?search=Edit%20Distance</t>
  </si>
  <si>
    <t>Delete Operation for Two Strings</t>
  </si>
  <si>
    <t>https://leetcode.com/problemset/?search=Delete%20Operation%20for%20Two%20Strings</t>
  </si>
  <si>
    <t>Interleaving String</t>
  </si>
  <si>
    <t>https://leetcode.com/problemset/?search=Interleaving%20String</t>
  </si>
  <si>
    <t>Longest Palindromic Subsequence</t>
  </si>
  <si>
    <t>https://leetcode.com/problemset/?search=Longest%20Palindromic%20Subsequence</t>
  </si>
  <si>
    <t>Longest Palindromic Substring</t>
  </si>
  <si>
    <t>https://leetcode.com/problemset/?search=Longest%20Palindromic%20Substring</t>
  </si>
  <si>
    <t>Palindromic Substrings</t>
  </si>
  <si>
    <t>https://leetcode.com/problemset/?search=Palindromic%20Substrings</t>
  </si>
  <si>
    <t>Palindrome Partitioning II</t>
  </si>
  <si>
    <t>https://leetcode.com/problemset/?search=Palindrome%20Partitioning%20II</t>
  </si>
  <si>
    <t>Distinct Subsequences</t>
  </si>
  <si>
    <t>https://leetcode.com/problemset/?search=Distinct%20Subsequences</t>
  </si>
  <si>
    <t>Wildcard Matching</t>
  </si>
  <si>
    <t>https://leetcode.com/problemset/?search=Wildcard%20Matching</t>
  </si>
  <si>
    <t>Regular Expression Matching</t>
  </si>
  <si>
    <t>https://leetcode.com/problemset/?search=Regular%20Expression%20Matching</t>
  </si>
  <si>
    <t>Best Time to Buy and Sell Stock III</t>
  </si>
  <si>
    <t>https://leetcode.com/problemset/?search=Best%20Time%20to%20Buy%20and%20Sell%20Stock%20III</t>
  </si>
  <si>
    <t>Best Time to Buy and Sell Stock IV</t>
  </si>
  <si>
    <t>https://leetcode.com/problemset/?search=Best%20Time%20to%20Buy%20and%20Sell%20Stock%20IV</t>
  </si>
  <si>
    <t>Best Time to Buy and Sell Stock with Cooldown</t>
  </si>
  <si>
    <t>https://leetcode.com/problemset/?search=Best%20Time%20to%20Buy%20and%20Sell%20Stock%20with%20Cooldown</t>
  </si>
  <si>
    <t>Best Time to Buy and Sell Stock with Transaction Fee</t>
  </si>
  <si>
    <t>https://leetcode.com/problemset/?search=Best%20Time%20to%20Buy%20and%20Sell%20Stock%20with%20Transaction%20Fee</t>
  </si>
  <si>
    <t>Minimum Score Triangulation of Polygon</t>
  </si>
  <si>
    <t>https://leetcode.com/problemset/?search=Minimum%20Score%20Triangulation%20of%20Polygon</t>
  </si>
  <si>
    <t>Minimum Insertion Steps to Make a String Palindrome</t>
  </si>
  <si>
    <t>https://leetcode.com/problemset/?search=Minimum%20Insertion%20Steps%20to%20Make%20a%20String%20Palindrome</t>
  </si>
  <si>
    <t>Guess Number Higher or Lower II</t>
  </si>
  <si>
    <t>https://leetcode.com/problemset/?search=Guess%20Number%20Higher%20or%20Lower%20II</t>
  </si>
  <si>
    <t>Strange Printer</t>
  </si>
  <si>
    <t>https://leetcode.com/problemset/?search=Strange%20Printer</t>
  </si>
  <si>
    <t>Can I Win</t>
  </si>
  <si>
    <t>https://leetcode.com/problemset/?search=Can%20I%20Win</t>
  </si>
  <si>
    <t>Stickers to Spell Word</t>
  </si>
  <si>
    <t>https://leetcode.com/problemset/?search=Stickers%20to%20Spell%20Word</t>
  </si>
  <si>
    <t>Parallel Courses II</t>
  </si>
  <si>
    <t>https://leetcode.com/problemset/?search=Parallel%20Courses%20II</t>
  </si>
  <si>
    <t>Number of Ways to Wear Different Hats to Each Other</t>
  </si>
  <si>
    <t>https://leetcode.com/problemset/?search=Number%20of%20Ways%20to%20Wear%20Different%20Hats%20to%20Each%20Other</t>
  </si>
  <si>
    <t>House Robber III</t>
  </si>
  <si>
    <t>https://leetcode.com/problemset/?search=House%20Robber%20III</t>
  </si>
  <si>
    <t>Binary Tree Cameras</t>
  </si>
  <si>
    <t>https://leetcode.com/problemset/?search=Binary%20Tree%20Cameras</t>
  </si>
  <si>
    <t>Binary Tree Maximum Path Sum</t>
  </si>
  <si>
    <t>https://leetcode.com/problemset/?search=Binary%20Tree%20Maximum%20Path%20Sum</t>
  </si>
  <si>
    <t>Number of Digit One</t>
  </si>
  <si>
    <t>https://leetcode.com/problemset/?search=Number%20of%20Digit%20One</t>
  </si>
  <si>
    <t>Numbers At Most N Given Digit Set</t>
  </si>
  <si>
    <t>https://leetcode.com/problemset/?search=Numbers%20At%20Most%20N%20Given%20Digit%20Set</t>
  </si>
  <si>
    <t>Knight Probability in Chessboard</t>
  </si>
  <si>
    <t>https://leetcode.com/problemset/?search=Knight%20Probability%20in%20Chessboard</t>
  </si>
  <si>
    <t>2 Keys Keyboard</t>
  </si>
  <si>
    <t>https://leetcode.com/problemset/?search=2%20Keys%20Keyboard</t>
  </si>
  <si>
    <t>N-th Tribonacci Number</t>
  </si>
  <si>
    <t>https://leetcode.com/problemset/?search=N-th%20Tribonacci%20Number</t>
  </si>
  <si>
    <t>Integer Break</t>
  </si>
  <si>
    <t>https://leetcode.com/problemset/?search=Integer%20Break</t>
  </si>
  <si>
    <t>Flood Fill</t>
  </si>
  <si>
    <t>https://leetcode.com/problemset/?search=Flood%20Fill</t>
  </si>
  <si>
    <t>Number of Islands</t>
  </si>
  <si>
    <t>https://leetcode.com/problemset/?search=Number%20of%20Islands</t>
  </si>
  <si>
    <t>Max Area of Island</t>
  </si>
  <si>
    <t>https://leetcode.com/problemset/?search=Max%20Area%20of%20Island</t>
  </si>
  <si>
    <t>Find if Path Exists in Graph</t>
  </si>
  <si>
    <t>https://leetcode.com/problemset/?search=Find%20if%20Path%20Exists%20in%20Graph</t>
  </si>
  <si>
    <t>Surrounded Regions</t>
  </si>
  <si>
    <t>https://leetcode.com/problemset/?search=Surrounded%20Regions</t>
  </si>
  <si>
    <t>Pacific Atlantic Water Flow</t>
  </si>
  <si>
    <t>https://leetcode.com/problemset/?search=Pacific%20Atlantic%20Water%20Flow</t>
  </si>
  <si>
    <t>Clone Graph</t>
  </si>
  <si>
    <t>https://leetcode.com/problemset/?search=Clone%20Graph</t>
  </si>
  <si>
    <t>All Paths From Source to Target</t>
  </si>
  <si>
    <t>https://leetcode.com/problemset/?search=All%20Paths%20From%20Source%20to%20Target</t>
  </si>
  <si>
    <t>Rotting Oranges</t>
  </si>
  <si>
    <t>https://leetcode.com/problemset/?search=Rotting%20Oranges</t>
  </si>
  <si>
    <t>Open the Lock</t>
  </si>
  <si>
    <t>https://leetcode.com/problemset/?search=Open%20the%20Lock</t>
  </si>
  <si>
    <t>Shortest Path in Binary Matrix</t>
  </si>
  <si>
    <t>https://leetcode.com/problemset/?search=Shortest%20Path%20in%20Binary%20Matrix</t>
  </si>
  <si>
    <t>Word Ladder</t>
  </si>
  <si>
    <t>https://leetcode.com/problemset/?search=Word%20Ladder</t>
  </si>
  <si>
    <t>Course Schedule</t>
  </si>
  <si>
    <t>https://leetcode.com/problemset/?search=Course%20Schedule</t>
  </si>
  <si>
    <t>Course Schedule II</t>
  </si>
  <si>
    <t>https://leetcode.com/problemset/?search=Course%20Schedule%20II</t>
  </si>
  <si>
    <t>Find Eventual Safe States</t>
  </si>
  <si>
    <t>https://leetcode.com/problemset/?search=Find%20Eventual%20Safe%20States</t>
  </si>
  <si>
    <t>Minimum Height Trees</t>
  </si>
  <si>
    <t>https://leetcode.com/problemset/?search=Minimum%20Height%20Trees</t>
  </si>
  <si>
    <t>Is Graph Bipartite?</t>
  </si>
  <si>
    <t>https://leetcode.com/problemset/?search=Is%20Graph%20Bipartite?</t>
  </si>
  <si>
    <t>Possible Bipartition</t>
  </si>
  <si>
    <t>https://leetcode.com/problemset/?search=Possible%20Bipartition</t>
  </si>
  <si>
    <t>Critical Connections in a Network</t>
  </si>
  <si>
    <t>https://leetcode.com/problemset/?search=Critical%20Connections%20in%20a%20Network</t>
  </si>
  <si>
    <t>Reconstruct Itinerary</t>
  </si>
  <si>
    <t>https://leetcode.com/problemset/?search=Reconstruct%20Itinerary</t>
  </si>
  <si>
    <t>Cracking the Safe</t>
  </si>
  <si>
    <t>https://leetcode.com/problemset/?search=Cracking%20the%20Safe</t>
  </si>
  <si>
    <t>Largest Color Value in a Directed Graph</t>
  </si>
  <si>
    <t>https://leetcode.com/problemset/?search=Largest%20Color%20Value%20in%20a%20Directed%20Graph</t>
  </si>
  <si>
    <t>Cheapest Flights Within K Stops</t>
  </si>
  <si>
    <t>https://leetcode.com/problemset/?search=Cheapest%20Flights%20Within%20K%20Stops</t>
  </si>
  <si>
    <t>Path With Minimum Effort</t>
  </si>
  <si>
    <t>https://leetcode.com/problemset/?search=Path%20With%20Minimum%20Effort</t>
  </si>
  <si>
    <t>Path with Maximum Probability</t>
  </si>
  <si>
    <t>https://leetcode.com/problemset/?search=Path%20with%20Maximum%20Probability</t>
  </si>
  <si>
    <t>Swim in Rising Water</t>
  </si>
  <si>
    <t>https://leetcode.com/problemset/?search=Swim%20in%20Rising%20Water</t>
  </si>
  <si>
    <t>Find the City With the Smallest Number of Neighbors at a Threshold Distance</t>
  </si>
  <si>
    <t>https://leetcode.com/problemset/?search=Find%20the%20City%20With%20the%20Smallest%20Number%20of%20Neighbors%20at%20a%20Threshold%20Distance</t>
  </si>
  <si>
    <t>Find Critical and Pseudo-Critical Edges in Minimum Spanning Tree</t>
  </si>
  <si>
    <t>https://leetcode.com/problemset/?search=Find%20Critical%20and%20Pseudo-Critical%20Edges%20in%20Minimum%20Spanning%20Tree</t>
  </si>
  <si>
    <t>Parallel Courses III</t>
  </si>
  <si>
    <t>https://leetcode.com/problemset/?search=Parallel%20Courses%20III</t>
  </si>
  <si>
    <t>Diameter of Binary Tree</t>
  </si>
  <si>
    <t>https://leetcode.com/problemset/?search=Diameter%20of%20Binary%20Tree</t>
  </si>
  <si>
    <t>Longest Univalue Path</t>
  </si>
  <si>
    <t>https://leetcode.com/problemset/?search=Longest%20Univalue%20Path</t>
  </si>
  <si>
    <t>Longest Path With Different Adjacent Characters</t>
  </si>
  <si>
    <t>https://leetcode.com/problemset/?search=Longest%20Path%20With%20Different%20Adjacent%20Characters</t>
  </si>
  <si>
    <t>Sum of Distances in Tree</t>
  </si>
  <si>
    <t>https://leetcode.com/problemset/?search=Sum%20of%20Distances%20in%20Tree</t>
  </si>
  <si>
    <t>Number of Nodes in the Sub-Tree With the Same Label</t>
  </si>
  <si>
    <t>https://leetcode.com/problemset/?search=Number%20of%20Nodes%20in%20the%20Sub-Tree%20With%20the%20Same%20Label</t>
  </si>
  <si>
    <t>Minimum Time to Collect All Apples in a Tree</t>
  </si>
  <si>
    <t>https://leetcode.com/problemset/?search=Minimum%20Time%20to%20Collect%20All%20Apples%20in%20a%20Tree</t>
  </si>
  <si>
    <t>Distribute Coins in Binary Tree</t>
  </si>
  <si>
    <t>https://leetcode.com/problemset/?search=Distribute%20Coins%20in%20Binary%20Tree</t>
  </si>
  <si>
    <t>Path Sum</t>
  </si>
  <si>
    <t>https://leetcode.com/problemset/?search=Path%20Sum</t>
  </si>
  <si>
    <t>Path Sum II</t>
  </si>
  <si>
    <t>https://leetcode.com/problemset/?search=Path%20Sum%20II</t>
  </si>
  <si>
    <t>Path Sum III</t>
  </si>
  <si>
    <t>https://leetcode.com/problemset/?search=Path%20Sum%20III</t>
  </si>
  <si>
    <t>All Nodes Distance K in Binary Tree</t>
  </si>
  <si>
    <t>https://leetcode.com/problemset/?search=All%20Nodes%20Distance%20K%20in%20Binary%20Tree</t>
  </si>
  <si>
    <t>Time Needed to Inform All Employees</t>
  </si>
  <si>
    <t>https://leetcode.com/problemset/?search=Time%20Needed%20to%20Inform%20All%20Employees</t>
  </si>
  <si>
    <t>Amount of Time for Binary Tree to Be Infected</t>
  </si>
  <si>
    <t>https://leetcode.com/problemset/?search=Amount%20of%20Time%20for%20Binary%20Tree%20to%20Be%20Infected</t>
  </si>
  <si>
    <t>Number of Good Leaf Nodes Pairs</t>
  </si>
  <si>
    <t>https://leetcode.com/problemset/?search=Number%20of%20Good%20Leaf%20Nodes%20Pairs</t>
  </si>
  <si>
    <t>Maximum Product of Splitted Binary Tree</t>
  </si>
  <si>
    <t>https://leetcode.com/problemset/?search=Maximum%20Product%20of%20Splitted%20Binary%20Tree</t>
  </si>
  <si>
    <t>Smallest String With Swaps</t>
  </si>
  <si>
    <t>https://leetcode.com/problemset/?search=Smallest%20String%20With%20Swaps</t>
  </si>
  <si>
    <t>Evaluate Division</t>
  </si>
  <si>
    <t>https://leetcode.com/problemset/?search=Evaluate%20Division</t>
  </si>
  <si>
    <t>Reorder Routes to Make All Paths Lead to the City Zero</t>
  </si>
  <si>
    <t>https://leetcode.com/problemset/?search=Reorder%20Routes%20to%20Make%20All%20Paths%20Lead%20to%20the%20City%20Zero</t>
  </si>
  <si>
    <t>Maximum Students Taking Exam</t>
  </si>
  <si>
    <t>https://leetcode.com/problemset/?search=Maximum%20Students%20Taking%20Exam</t>
  </si>
  <si>
    <t>Maximum Compatibility Score Sum</t>
  </si>
  <si>
    <t>https://leetcode.com/problemset/?search=Maximum%20Compatibility%20Score%20Sum</t>
  </si>
  <si>
    <t>Minimum Moves to Spread Stones Over Grid</t>
  </si>
  <si>
    <t>https://leetcode.com/problemset/?search=Minimum%20Moves%20to%20Spread%20Stones%20Over%20Grid</t>
  </si>
  <si>
    <t>Number of Ways to Arrive at Destination</t>
  </si>
  <si>
    <t>https://leetcode.com/problemset/?search=Number%20of%20Ways%20to%20Arrive%20at%20Destination</t>
  </si>
  <si>
    <t>Minimum Cost to Make at Least One Valid Path in a Grid</t>
  </si>
  <si>
    <t>https://leetcode.com/problemset/?search=Minimum%20Cost%20to%20Make%20at%20Least%20One%20Valid%20Path%20in%20a%20Grid</t>
  </si>
  <si>
    <t>Check If It Is a Straight Line</t>
  </si>
  <si>
    <t>https://leetcode.com/problemset/?search=Check%20If%20It%20Is%20a%20Straight%20Line</t>
  </si>
  <si>
    <t>Rectangle Overlap</t>
  </si>
  <si>
    <t>https://leetcode.com/problemset/?search=Rectangle%20Overlap</t>
  </si>
  <si>
    <t>Largest Triangle Area</t>
  </si>
  <si>
    <t>https://leetcode.com/problemset/?search=Largest%20Triangle%20Area</t>
  </si>
  <si>
    <t>Max Points on a Line</t>
  </si>
  <si>
    <t>https://leetcode.com/problemset/?search=Max%20Points%20on%20a%20Line</t>
  </si>
  <si>
    <t>Erect the Fence</t>
  </si>
  <si>
    <t>https://leetcode.com/problemset/?search=Erect%20the%20Fence</t>
  </si>
  <si>
    <t>Minimum Area Rectangle II</t>
  </si>
  <si>
    <t>https://leetcode.com/problemset/?search=Minimum%20Area%20Rectangle%20II</t>
  </si>
  <si>
    <t>Minimum Area Rectangle</t>
  </si>
  <si>
    <t>https://leetcode.com/problemset/?search=Minimum%20Area%20Rectangle</t>
  </si>
  <si>
    <t>Circle and Rectangle Overlapping</t>
  </si>
  <si>
    <t>https://leetcode.com/problemset/?search=Circle%20and%20Rectangle%20Overlapping</t>
  </si>
  <si>
    <t>Points That Intersect With Cars</t>
  </si>
  <si>
    <t>https://leetcode.com/problemset/?search=Points%20That%20Intersect%20With%20Cars</t>
  </si>
  <si>
    <t>Queries on Number of Points Inside a Circle</t>
  </si>
  <si>
    <t>https://leetcode.com/problemset/?search=Queries%20on%20Number%20of%20Points%20Inside%20a%20Circle</t>
  </si>
  <si>
    <t>Find the Index of the First Occurrence in a String</t>
  </si>
  <si>
    <t>https://leetcode.com/problemset/?search=Find%20the%20Index%20of%20the%20First%20Occurrence%20in%20a%20String</t>
  </si>
  <si>
    <t>Repeated Substring Pattern</t>
  </si>
  <si>
    <t>https://leetcode.com/problemset/?search=Repeated%20Substring%20Pattern</t>
  </si>
  <si>
    <t>Shortest Palindrome</t>
  </si>
  <si>
    <t>https://leetcode.com/problemset/?search=Shortest%20Palindrome</t>
  </si>
  <si>
    <t>Repeated String Match</t>
  </si>
  <si>
    <t>https://leetcode.com/problemset/?search=Repeated%20String%20Match</t>
  </si>
  <si>
    <t>Repeated DNA Sequences</t>
  </si>
  <si>
    <t>https://leetcode.com/problemset/?search=Repeated%20DNA%20Sequences</t>
  </si>
  <si>
    <t>Longest Duplicate Substring</t>
  </si>
  <si>
    <t>https://leetcode.com/problemset/?search=Longest%20Duplicate%20Substring</t>
  </si>
  <si>
    <t>Longest Happy Prefix</t>
  </si>
  <si>
    <t>https://leetcode.com/problemset/?search=Longest%20Happy%20Prefix</t>
  </si>
  <si>
    <t>Palindrome Pairs</t>
  </si>
  <si>
    <t>https://leetcode.com/problemset/?search=Palindrome%20Pairs</t>
  </si>
  <si>
    <t>Stream of Characters</t>
  </si>
  <si>
    <t>https://leetcode.com/problemset/?search=Stream%20of%20Characters</t>
  </si>
  <si>
    <t>Last Substring in Lexicographical Order</t>
  </si>
  <si>
    <t>https://leetcode.com/problemset/?search=Last%20Substring%20in%20Lexicographical%20Order</t>
  </si>
  <si>
    <t>Longest Common Subpath</t>
  </si>
  <si>
    <t>https://leetcode.com/problemset/?search=Longest%20Common%20Subpath</t>
  </si>
  <si>
    <t>Number of Squareful Arrays</t>
  </si>
  <si>
    <t>https://leetcode.com/problemset/?search=Number%20of%20Squareful%20Arrays</t>
  </si>
  <si>
    <t>NHẬT KÝ HỌC TẬP HẰNG NGÀY</t>
  </si>
  <si>
    <t>Nhập Giờ học thực tế, Tự đánh giá, Điều đã học, Vướng mắc. Số bài giải và chuỗi ngày học tự tính.</t>
  </si>
  <si>
    <t>Ngày #</t>
  </si>
  <si>
    <t>Giờ học thực tế</t>
  </si>
  <si>
    <t>Số bài giải</t>
  </si>
  <si>
    <t>Tự đánh giá (1-5)</t>
  </si>
  <si>
    <t>Điều đã học</t>
  </si>
  <si>
    <t>Vướng mắc / việc cần làm lại</t>
  </si>
  <si>
    <t>Chuỗi ngày học</t>
  </si>
  <si>
    <t>CHECKLIST NỘI DUNG SLIDE (TUẦN 1 – 15)</t>
  </si>
  <si>
    <t>Mục đã nắm = đủ 4 dấu ✓. Các mục chưa có chi tiết là gợi ý dựa trên tên file slide, hãy đối chiếu và sửa theo nội dung thật.</t>
  </si>
  <si>
    <t>Chương</t>
  </si>
  <si>
    <t>Chủ đề / thuật toán</t>
  </si>
  <si>
    <t>Ngày roadmap</t>
  </si>
  <si>
    <t>Trạng thái ngày học</t>
  </si>
  <si>
    <t>Ý chính / độ phức tạp</t>
  </si>
  <si>
    <t>Lưu ý khi cài đặt (sai sót / chi tiết trong slide)</t>
  </si>
  <si>
    <t>Hiểu lý thuyết ✓</t>
  </si>
  <si>
    <t>Cài C++ ✓</t>
  </si>
  <si>
    <t>Cài Java ✓</t>
  </si>
  <si>
    <t>Tự giải thích lại ✓</t>
  </si>
  <si>
    <t>T1</t>
  </si>
  <si>
    <t>Ch.1</t>
  </si>
  <si>
    <t>Giới thiệu môn học &amp; thư viện hỗ trợ</t>
  </si>
  <si>
    <t>Ôn thư viện chuẩn C++ (STL) và Java (Collections) – xem sheet Cpp_vs_Java</t>
  </si>
  <si>
    <t>Gợi ý theo tên file; chưa đối chiếu nội dung slide</t>
  </si>
  <si>
    <t>T2-3</t>
  </si>
  <si>
    <t>Ch.2</t>
  </si>
  <si>
    <t>RMQ – cách trực tiếp</t>
  </si>
  <si>
    <t>Duyệt a[i..j] mỗi truy vấn: O(j−i); K truy vấn → O(K·N)</t>
  </si>
  <si>
    <t>Slide 6 có lỗi gõ "min = a[k];, min_idx"</t>
  </si>
  <si>
    <t>RMQ – tiền xử lý Sparse Table</t>
  </si>
  <si>
    <t>M[0][j]=j; M[i][j] chọn min của M[i−1][j] và M[i−1][j+2^(i−1)]; O(N log N) thời gian và bộ nhớ</t>
  </si>
  <si>
    <t>Slide đổi vai trò i/j giữa các trang (tầng / vị trí) – thống nhất ký hiệu khi cài</t>
  </si>
  <si>
    <t>RMQ – truy vấn O(1)</t>
  </si>
  <si>
    <t>k=⌊log2(j−i+1)⌋; so M[k][i] với M[k][j−2^k+1] (hai khối chồng nhau); ví dụ RMQ(4,14)=12</t>
  </si>
  <si>
    <t>Thống nhất cách xử lý khi hai giá trị bằng nhau (chọn chỉ số nào)</t>
  </si>
  <si>
    <t>Segment Tree – cấu trúc</t>
  </si>
  <si>
    <t>Cây nhị phân đầy đủ; nút id quản lý [L,R]; con 2id và 2id+1; lưu maxVal[id]; ≤ 4n nút</t>
  </si>
  <si>
    <t>Mảng kích thước 4n, chỉ số nút bắt đầu từ 1</t>
  </si>
  <si>
    <t>Segment Tree – GetMax(i,j)</t>
  </si>
  <si>
    <t>Rời nhau → −∞; nằm trọn → maxVal; còn lại gộp hai con; mỗi tầng ≤ 4 nút → O(log n)</t>
  </si>
  <si>
    <t>Segment Tree – Update(i,v)</t>
  </si>
  <si>
    <t>Xuống lá, cập nhật rồi tính lại maxVal[id]=max(con); O(log n)</t>
  </si>
  <si>
    <t>Slide chưa có hàm Build ban đầu (O(n)) – tự viết</t>
  </si>
  <si>
    <t>T4</t>
  </si>
  <si>
    <t>Ch.3</t>
  </si>
  <si>
    <t>Sơ đồ chung quay lui (liệt kê)</t>
  </si>
  <si>
    <t>try(k): for v in A_k: check → gán X_k → [cập nhật D] → try(k+1) → [khôi phục D]</t>
  </si>
  <si>
    <t>Sơ đồ nhánh cận (tìm min)</t>
  </si>
  <si>
    <t>Kỷ lục f*; cận dưới g(X1..Xk); chỉ gọi try(k+1) nếu g &lt; f*</t>
  </si>
  <si>
    <t>CBUS – xe buýt đón trả khách</t>
  </si>
  <si>
    <t>X1..X2n là hoán vị; visited[]; load ≤ K; cận f + Cmin·(2n+1−k); updateBest cộng d(X2n,0)</t>
  </si>
  <si>
    <t>Cmin là khoảng cách nhỏ nhất giữa mọi cặp điểm; trả khách chỉ khi đã đón</t>
  </si>
  <si>
    <t>Cắt vật liệu 2D (bin packing 2D)</t>
  </si>
  <si>
    <t>Biến (x,y,o) mỗi miếng; mark[i][j]; check / doMark / undo; xoay 90°</t>
  </si>
  <si>
    <t>Slide: check dùng h[k], w[k] thay vì hk, wk khi xoay; doMark gọi và định nghĩa khác thứ tự tham số; i/j ứng với hàng/cột cần chuẩn hoá</t>
  </si>
  <si>
    <t>T5</t>
  </si>
  <si>
    <t>CVRP – xe tải giao hàng</t>
  </si>
  <si>
    <t>Nhiều xe, tải trọng; nhánh cận (đối chiếu slide)</t>
  </si>
  <si>
    <t>T6</t>
  </si>
  <si>
    <t>Ch.4</t>
  </si>
  <si>
    <t>Tham lam</t>
  </si>
  <si>
    <t>Tiêu chí chọn, chứng minh tính đúng (đối chiếu slide)</t>
  </si>
  <si>
    <t>Gợi ý theo tên file</t>
  </si>
  <si>
    <t>T7</t>
  </si>
  <si>
    <t>Chia để trị</t>
  </si>
  <si>
    <t>Divide–Conquer–Combine, Master theorem (đối chiếu slide)</t>
  </si>
  <si>
    <t>T8-9</t>
  </si>
  <si>
    <t>Quy hoạch động</t>
  </si>
  <si>
    <t>Bài toán con, truy hồi, bảng, tối ưu bộ nhớ (đối chiếu slide)</t>
  </si>
  <si>
    <t>T10</t>
  </si>
  <si>
    <t>Ch.5</t>
  </si>
  <si>
    <t>DFS và ứng dụng</t>
  </si>
  <si>
    <t>DFS, thành phần liên thông, tôpô… (đối chiếu slide)</t>
  </si>
  <si>
    <t>T11</t>
  </si>
  <si>
    <t>Đường đi dài nhất trên cây</t>
  </si>
  <si>
    <t>DFS(s) → x xa nhất → DFS(x) → y; O(V+E)</t>
  </si>
  <si>
    <t>Tổng đường đi trên cây (rerooting)</t>
  </si>
  <si>
    <t>Pha 1: d(u)+=d(v)+N(v)·w, N(u)+=N(v). Pha 2: f(v)=F+d(v)+w·(n−N(v)) với F=f(u)−(d(v)+w·N(v)); O(V+E)</t>
  </si>
  <si>
    <t>Slide 10 ghi d(u)=d(u)+N(v)*d(v) (bản rút gọn); công thức đầy đủ ở slide 11</t>
  </si>
  <si>
    <t>T12</t>
  </si>
  <si>
    <t>Luồng cực đại (Max Flow)</t>
  </si>
  <si>
    <t>Đồ thị thặng dư, đường tăng luồng (đối chiếu slide)</t>
  </si>
  <si>
    <t>Ghép cặp cực đại (Max Matching)</t>
  </si>
  <si>
    <t>Đồ thị hai phía, đường tăng (đối chiếu slide)</t>
  </si>
  <si>
    <t>Thuật toán Hungarian</t>
  </si>
  <si>
    <t>Bài toán phân công O(n³) (đối chiếu slide)</t>
  </si>
  <si>
    <t>T13</t>
  </si>
  <si>
    <t>Ch.6</t>
  </si>
  <si>
    <t>Hình học tính toán</t>
  </si>
  <si>
    <t>Tích có hướng, bao lồi, giao đoạn thẳng (đối chiếu slide)</t>
  </si>
  <si>
    <t>T14</t>
  </si>
  <si>
    <t>Ch.7</t>
  </si>
  <si>
    <t>Thuật toán xâu</t>
  </si>
  <si>
    <t>KMP, hashing, Trie… (đối chiếu slide)</t>
  </si>
  <si>
    <t>T15</t>
  </si>
  <si>
    <t>Ch.8</t>
  </si>
  <si>
    <t>NP-đầy đủ</t>
  </si>
  <si>
    <t>P, NP, rút gọn, bài toán NP-đầy đủ điển hình (đối chiếu slide)</t>
  </si>
  <si>
    <t>BẢNG ĐỐI CHIẾU C++ ↔ JAVA CHO LẬP TRÌNH THUẬT TOÁN</t>
  </si>
  <si>
    <t>Mục đích</t>
  </si>
  <si>
    <t>C++ (STL)</t>
  </si>
  <si>
    <t>Java</t>
  </si>
  <si>
    <t>Độ phức tạp</t>
  </si>
  <si>
    <t>Lưu ý</t>
  </si>
  <si>
    <t>Mảng động</t>
  </si>
  <si>
    <t>vector&lt;int&gt; a; a.push_back(x)</t>
  </si>
  <si>
    <t>ArrayList&lt;Integer&gt; a; a.add(x)  |  int[]</t>
  </si>
  <si>
    <t>O(1) trung bình</t>
  </si>
  <si>
    <t>Java: List&lt;Integer&gt; tốn bộ nhớ vì boxing, ưu tiên int[] khi biết kích thước</t>
  </si>
  <si>
    <t>Sắp xếp</t>
  </si>
  <si>
    <t>sort(a.begin(), a.end())</t>
  </si>
  <si>
    <t>Arrays.sort(a)  |  Collections.sort(list)</t>
  </si>
  <si>
    <t>O(n log n)</t>
  </si>
  <si>
    <t>Arrays.sort(int[]) là dual-pivot quicksort; dùng Integer[] hoặc xáo trộn nếu lo test chống quicksort</t>
  </si>
  <si>
    <t>Comparator tuỳ biến</t>
  </si>
  <si>
    <t>sort(v.begin(), v.end(), [](auto&amp;a, auto&amp;b){ return a.x &lt; b.x; })</t>
  </si>
  <si>
    <t>Arrays.sort(arr, (a,b) -&gt; Integer.compare(a[0], b[0]))</t>
  </si>
  <si>
    <t>Java: không dùng a[0]-b[0] vì có thể tràn số</t>
  </si>
  <si>
    <t>Tìm kiếm nhị phân</t>
  </si>
  <si>
    <t>lower_bound / upper_bound / binary_search</t>
  </si>
  <si>
    <t>Arrays.binarySearch (không có lower_bound – tự viết)</t>
  </si>
  <si>
    <t>O(log n)</t>
  </si>
  <si>
    <t>Tự viết lower_bound bằng Java để dùng chung mọi bài</t>
  </si>
  <si>
    <t>Hash map / set</t>
  </si>
  <si>
    <t>Dữ liệu đối kháng có thể làm hash chậm; cân nhắc map/TreeMap</t>
  </si>
  <si>
    <t>Map / set có thứ tự</t>
  </si>
  <si>
    <t>map, set</t>
  </si>
  <si>
    <t>TreeMap, TreeSet (floorKey, ceilingKey, higher, lower)</t>
  </si>
  <si>
    <t>Multiset</t>
  </si>
  <si>
    <t>multiset</t>
  </si>
  <si>
    <t>TreeMap&lt;Integer,Integer&gt; đếm số lần</t>
  </si>
  <si>
    <t>Xoá một phần tử: giảm count, nếu 0 thì remove</t>
  </si>
  <si>
    <t>stack&lt;int&gt;</t>
  </si>
  <si>
    <t>Deque&lt;Integer&gt; st = new ArrayDeque&lt;&gt;()</t>
  </si>
  <si>
    <t>O(1)</t>
  </si>
  <si>
    <t>Tránh class Stack (cũ, đồng bộ hoá chậm)</t>
  </si>
  <si>
    <t>Queue / Deque</t>
  </si>
  <si>
    <t>queue&lt;int&gt;, deque&lt;int&gt;</t>
  </si>
  <si>
    <t>Queue&lt;Integer&gt; q = new ArrayDeque&lt;&gt;()</t>
  </si>
  <si>
    <t>ArrayDeque không cho phép null</t>
  </si>
  <si>
    <t>Priority queue</t>
  </si>
  <si>
    <t>priority_queue&lt;int&gt; (max-heap mặc định)</t>
  </si>
  <si>
    <t>PriorityQueue&lt;Integer&gt; (min-heap mặc định)</t>
  </si>
  <si>
    <t>Max-heap Java: new PriorityQueue&lt;&gt;(Collections.reverseOrder())</t>
  </si>
  <si>
    <t>Pair / bộ giá trị</t>
  </si>
  <si>
    <t>pair&lt;int,int&gt;, tuple</t>
  </si>
  <si>
    <t>int[]{a,b}  |  record Pair(int a, int b)</t>
  </si>
  <si>
    <t>Java: int[] trong HashSet so sánh theo tham chiếu → dùng record hoặc mã hoá thành long</t>
  </si>
  <si>
    <t>Xâu có thể sửa</t>
  </si>
  <si>
    <t>string s; s += c</t>
  </si>
  <si>
    <t>StringBuilder sb; sb.append(c)</t>
  </si>
  <si>
    <t>Java: String bất biến, nối bằng + trong vòng lặp là O(n²)</t>
  </si>
  <si>
    <t>Số lớn</t>
  </si>
  <si>
    <t>__int128 hoặc tự viết</t>
  </si>
  <si>
    <t>BigInteger, BigDecimal</t>
  </si>
  <si>
    <t>Thi thường giới hạn long; chỉ dùng BigInteger khi cần</t>
  </si>
  <si>
    <t>Kiểu 64-bit</t>
  </si>
  <si>
    <t>long long</t>
  </si>
  <si>
    <t>long</t>
  </si>
  <si>
    <t>Khai báo hằng: 1LL&lt;&lt;40 (C++), 1L&lt;&lt;40 (Java)</t>
  </si>
  <si>
    <t>Giá trị vô cực</t>
  </si>
  <si>
    <t>INT_MAX, LLONG_MAX, 1e9, 1e18</t>
  </si>
  <si>
    <t>Integer.MAX_VALUE, Long.MAX_VALUE</t>
  </si>
  <si>
    <t>Cẩn thận INF + INF tràn số; dùng INF = 1e9 hoặc 4e18/2</t>
  </si>
  <si>
    <t>Điền mảng</t>
  </si>
  <si>
    <t>fill(a, a+n, v) / memset</t>
  </si>
  <si>
    <t>Arrays.fill(a, v)</t>
  </si>
  <si>
    <t>O(n)</t>
  </si>
  <si>
    <t>memset chỉ an toàn với 0 và −1</t>
  </si>
  <si>
    <t>Mảng 2 chiều</t>
  </si>
  <si>
    <t>vector&lt;vector&lt;int&gt;&gt; g(n, vector&lt;int&gt;(m))</t>
  </si>
  <si>
    <t>int[][] g = new int[n][m]</t>
  </si>
  <si>
    <t>Đồ thị danh sách kề</t>
  </si>
  <si>
    <t>vector&lt;vector&lt;pair&lt;int,int&gt;&gt;&gt; adj(n)</t>
  </si>
  <si>
    <t>List&lt;int[]&gt;[] adj = new List[n]</t>
  </si>
  <si>
    <t>Java: cảnh báo generic array, khởi tạo từng phần tử bằng new ArrayList&lt;&gt;()</t>
  </si>
  <si>
    <t>Đọc dữ liệu nhanh</t>
  </si>
  <si>
    <t>ios::sync_with_stdio(false); cin.tie(nullptr);</t>
  </si>
  <si>
    <t>BufferedReader + StringTokenizer  |  StreamTokenizer</t>
  </si>
  <si>
    <t>Java: dùng PrintWriter / StringBuilder để xuất</t>
  </si>
  <si>
    <t>Hoán vị kế tiếp</t>
  </si>
  <si>
    <t>next_permutation</t>
  </si>
  <si>
    <t>Tự viết</t>
  </si>
  <si>
    <t>Đếm bit</t>
  </si>
  <si>
    <t>__builtin_popcount, __builtin_clz</t>
  </si>
  <si>
    <t>Integer.bitCount, Integer.numberOfLeadingZeros</t>
  </si>
  <si>
    <t>log2 nguyên: 31 − clz(x) (C++/Java) hoặc __lg(x) (C++)</t>
  </si>
  <si>
    <t>Min / max của mảng</t>
  </si>
  <si>
    <t>*min_element(a.begin(), a.end())</t>
  </si>
  <si>
    <t>Arrays.stream(a).min().getAsInt()  |  Collections.max(list)</t>
  </si>
  <si>
    <t>Sao chép mảng</t>
  </si>
  <si>
    <t>vector&lt;int&gt; b = a;</t>
  </si>
  <si>
    <t>Arrays.copyOf(a, n)  |  a.clone()</t>
  </si>
  <si>
    <t>Java: gán b = a chỉ sao chép tham chiếu</t>
  </si>
  <si>
    <t>Loại phần tử trùng</t>
  </si>
  <si>
    <t>sort + unique + erase</t>
  </si>
  <si>
    <t>TreeSet  |  stream().distinct()</t>
  </si>
  <si>
    <t>Độ sâu đệ quy</t>
  </si>
  <si>
    <t>ulimit -s (thường 8MB)</t>
  </si>
  <si>
    <t>-Xss  |  new Thread(null, r, "", 1&lt;&lt;26).start()</t>
  </si>
  <si>
    <t>Cây lệch 10^5 – 10^6 nút có thể tràn stack</t>
  </si>
  <si>
    <t>Đo thời gian</t>
  </si>
  <si>
    <t>chrono::steady_clock</t>
  </si>
  <si>
    <t>System.nanoTime()</t>
  </si>
  <si>
    <t>HƯỚNG DẪN SỬ DỤNG</t>
  </si>
  <si>
    <t>CÁCH DÙNG NHANH</t>
  </si>
  <si>
    <t>1.</t>
  </si>
  <si>
    <t>Vào Dashboard, ô B4 = ngày bắt đầu (mặc định 05/10/2026, sửa theo ngày bạn thực sự bắt đầu). Toàn bộ ngày dự kiến tự dịch theo.</t>
  </si>
  <si>
    <t>2.</t>
  </si>
  <si>
    <t>Mỗi ngày mở sheet Roadmap, tìm dòng nền xanh nhạt (hôm nay): đọc nội dung lý thuyết, xem gợi ý C++/Java, giải các bài trong cột Bài LeetCode.</t>
  </si>
  <si>
    <t>3.</t>
  </si>
  <si>
    <t>Sau khi giải bài, sang sheet LeetCode: chọn Trạng thái = Xong, tick C++ ✓ / Java ✓, điền Ngày giải, Số lần thử, Ghi chú ý tưởng. Ngày ôn lại tự sinh.</t>
  </si>
  <si>
    <t>4.</t>
  </si>
  <si>
    <t>Cuối ngày: ở Roadmap tick Lý thuyết ✓, C++ ✓, Java ✓ (đã tự cài thuật toán của ngày đó ở từng ngôn ngữ). Ngày chuyển sang Hoàn thành khi đủ 3 dấu ✓ và xong mọi bài trong kế hoạch.</t>
  </si>
  <si>
    <t>5.</t>
  </si>
  <si>
    <t>Điền sheet NhatKy: Giờ học thực tế, Tự đánh giá, Điều đã học, Vướng mắc. Số bài giải và chuỗi ngày học tự tính.</t>
  </si>
  <si>
    <t>6.</t>
  </si>
  <si>
    <t>Sheet Slide: tick 4 cột cho từng thuật toán trong slide. Sheet Cpp_vs_Java: tra cứu nhanh khi chuyển ngôn ngữ.</t>
  </si>
  <si>
    <t>QUY TẮC MÀU Ô</t>
  </si>
  <si>
    <t>Nền vàng, chữ xanh</t>
  </si>
  <si>
    <t>Ô bạn nhập (ngày bắt đầu, chu kỳ ôn, ✓, trạng thái, giờ học, ghi chú…).</t>
  </si>
  <si>
    <t>Nền trắng/xám</t>
  </si>
  <si>
    <t>Công thức hoặc dữ liệu cố định, không cần sửa.</t>
  </si>
  <si>
    <t>Dòng xanh nhạt</t>
  </si>
  <si>
    <t>Ngày hôm nay (so với ngày bắt đầu).</t>
  </si>
  <si>
    <t>Trạng thái ngày</t>
  </si>
  <si>
    <t>Hoàn thành (xanh) / Đang học (vàng) / Trễ hạn (đỏ: quá ngày dự kiến mà chưa hoàn thành) / Chưa bắt đầu (xám).</t>
  </si>
  <si>
    <t>CHIẾN LƯỢC C++ &amp; JAVA</t>
  </si>
  <si>
    <t>Gợi ý</t>
  </si>
  <si>
    <t>Giải bài bằng ngôn ngữ nào tuỳ bạn, nhưng với mỗi ngày hãy cài lại ít nhất 1 bài (hoặc template của chủ đề) bằng ngôn ngữ còn lại, rồi tick cả hai cột.</t>
  </si>
  <si>
    <t>Ôn tập ngắt quãng</t>
  </si>
  <si>
    <t>Mỗi bài đã giải có 3 mốc ôn (mặc định +3, +7, +14 ngày; chỉnh ở Dashboard B5:B7). Cột Lần ôn kế tiếp tô cam khi đến hạn.</t>
  </si>
  <si>
    <t>Quy tắc 3 lần thử</t>
  </si>
  <si>
    <t>Sau 3 lần tự thử mà chưa ra thì xem lời giải, ghi ý tưởng vào cột Ghi chú, đặt trạng thái Cần ôn rồi làm lại sau 1-2 ngày.</t>
  </si>
  <si>
    <t>GIẢ ĐỊNH</t>
  </si>
  <si>
    <t>Thời gian</t>
  </si>
  <si>
    <t>100 ngày liên tục, khoảng 3 giờ/ngày (cột Giờ KH, sửa được); ngày 99-100 là 4 giờ.</t>
  </si>
  <si>
    <t>Số bài</t>
  </si>
  <si>
    <t>338 bài LeetCode, phân bổ khoảng 3-4 bài/ngày; một số ngày ôn tập có ít bài hơn.</t>
  </si>
  <si>
    <t>Slide</t>
  </si>
  <si>
    <t>Tuần 2-4 và tuần 11 được lập từ nội dung slide đã đọc; các tuần còn lại (1, 5-10, 12-15) dựa trên tên file, hãy đối chiếu rồi sửa sheet Slide và Roadmap.</t>
  </si>
  <si>
    <t>Link bài</t>
  </si>
  <si>
    <t>Mỗi link mở trang tìm kiếm LeetCode theo tên bài; độ khó và tên bài nên được kiểm tra lại trên LeetCode vì có thể thay đổi.</t>
  </si>
  <si>
    <t>Bài ngoài LeetCode</t>
  </si>
  <si>
    <t>LeetCode ít bài về Max Flow, CVRP, bin packing nên cột "Bài ngoài LeetCode" gợi ý thêm nguồn khác (SPOJ, CSES, hệ thống chấm của lớp).</t>
  </si>
  <si>
    <t>VÍ DỤ CÁCH ĐIỀN (1 dòng sheet LeetCode)</t>
  </si>
  <si>
    <t>C++ ✓ / Java ✓</t>
  </si>
  <si>
    <t>✓ / ✓</t>
  </si>
  <si>
    <t>07/10/2026</t>
  </si>
  <si>
    <t>2</t>
  </si>
  <si>
    <t>Hash map lưu giá trị → chỉ số, O(n) thời gian, O(n) bộ nhớ</t>
  </si>
  <si>
    <t>✓</t>
  </si>
  <si>
    <t>unordered_map / 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</si>
</sst>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0.0%"/>
    <numFmt numFmtId="167" formatCode="\+0;\-0;0"/>
  </numFmts>
  <fonts count="9">
    <font>
      <sz val="11"/>
      <name val="Carlito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563C1"/>
      <name val="Arial"/>
    </font>
    <font>
      <b/>
      <sz val="10"/>
      <name val="Arial"/>
    </font>
    <font>
      <b/>
      <sz val="10"/>
      <color rgb="FF1F3864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AEEF3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0CE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top" wrapText="1"/>
    </xf>
    <xf numFmtId="164" fontId="4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5" fontId="5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4" fillId="14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 wrapText="1"/>
    </xf>
    <xf numFmtId="1" fontId="5" fillId="3" borderId="0" xfId="0" applyNumberFormat="1" applyFont="1" applyFill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15" borderId="0" xfId="0" applyFont="1" applyFill="1"/>
    <xf numFmtId="0" fontId="5" fillId="3" borderId="0" xfId="0" applyFont="1" applyFill="1"/>
    <xf numFmtId="164" fontId="5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9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7" fillId="15" borderId="0" xfId="0" applyFont="1" applyFill="1"/>
    <xf numFmtId="0" fontId="7" fillId="15" borderId="0" xfId="0" applyFont="1" applyFill="1" applyAlignment="1">
      <alignment wrapText="1"/>
    </xf>
    <xf numFmtId="0" fontId="8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BDD7EE"/>
        </patternFill>
      </fill>
    </dxf>
    <dxf>
      <font>
        <b/>
      </font>
      <fill>
        <patternFill patternType="solid">
          <bgColor rgb="FFF8CBAD"/>
        </patternFill>
      </fill>
    </dxf>
    <dxf>
      <fill>
        <patternFill patternType="solid"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Tiến độ theo giai đoạn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ngày</c:v>
          </c:tx>
          <c:invertIfNegative val="1"/>
          <c:cat>
            <c:strRef>
              <c:f>Dashboard!$D$5:$D$16</c:f>
              <c:strCache>
                <c:ptCount val="12"/>
                <c:pt idx="0">
                  <c:v>1. Nền tảng</c:v>
                </c:pt>
                <c:pt idx="1">
                  <c:v>2. CTDL &amp; thuật toán kinh điển</c:v>
                </c:pt>
                <c:pt idx="2">
                  <c:v>3. RMQ &amp; Segment Tree</c:v>
                </c:pt>
                <c:pt idx="3">
                  <c:v>4. Quay lui &amp; Nhánh cận</c:v>
                </c:pt>
                <c:pt idx="4">
                  <c:v>5. Tham lam</c:v>
                </c:pt>
                <c:pt idx="5">
                  <c:v>6. Chia để trị</c:v>
                </c:pt>
                <c:pt idx="6">
                  <c:v>7. Quy hoạch động</c:v>
                </c:pt>
                <c:pt idx="7">
                  <c:v>8. Đồ thị, DFS &amp; Cây</c:v>
                </c:pt>
                <c:pt idx="8">
                  <c:v>9. Luồng &amp; Ghép cặp</c:v>
                </c:pt>
                <c:pt idx="9">
                  <c:v>10. Hình học</c:v>
                </c:pt>
                <c:pt idx="10">
                  <c:v>11. Xâu</c:v>
                </c:pt>
                <c:pt idx="11">
                  <c:v>12. NP-đầy đủ &amp; Tổng ôn</c:v>
                </c:pt>
              </c:strCache>
            </c:strRef>
          </c:cat>
          <c:val>
            <c:numRef>
              <c:f>Dashboard!$E$5:$E$16</c:f>
              <c:numCache>
                <c:formatCode>General</c:formatCode>
                <c:ptCount val="12"/>
                <c:pt idx="0">
                  <c:v>10</c:v>
                </c:pt>
                <c:pt idx="1">
                  <c:v>18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17</c:v>
                </c:pt>
                <c:pt idx="7">
                  <c:v>13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8-4CCA-9D59-F7CB422B733A}"/>
            </c:ext>
          </c:extLst>
        </c:ser>
        <c:ser>
          <c:idx val="1"/>
          <c:order val="1"/>
          <c:tx>
            <c:v>Ngày xong</c:v>
          </c:tx>
          <c:invertIfNegative val="1"/>
          <c:cat>
            <c:strRef>
              <c:f>Dashboard!$D$5:$D$16</c:f>
              <c:strCache>
                <c:ptCount val="12"/>
                <c:pt idx="0">
                  <c:v>1. Nền tảng</c:v>
                </c:pt>
                <c:pt idx="1">
                  <c:v>2. CTDL &amp; thuật toán kinh điển</c:v>
                </c:pt>
                <c:pt idx="2">
                  <c:v>3. RMQ &amp; Segment Tree</c:v>
                </c:pt>
                <c:pt idx="3">
                  <c:v>4. Quay lui &amp; Nhánh cận</c:v>
                </c:pt>
                <c:pt idx="4">
                  <c:v>5. Tham lam</c:v>
                </c:pt>
                <c:pt idx="5">
                  <c:v>6. Chia để trị</c:v>
                </c:pt>
                <c:pt idx="6">
                  <c:v>7. Quy hoạch động</c:v>
                </c:pt>
                <c:pt idx="7">
                  <c:v>8. Đồ thị, DFS &amp; Cây</c:v>
                </c:pt>
                <c:pt idx="8">
                  <c:v>9. Luồng &amp; Ghép cặp</c:v>
                </c:pt>
                <c:pt idx="9">
                  <c:v>10. Hình học</c:v>
                </c:pt>
                <c:pt idx="10">
                  <c:v>11. Xâu</c:v>
                </c:pt>
                <c:pt idx="11">
                  <c:v>12. NP-đầy đủ &amp; Tổng ôn</c:v>
                </c:pt>
              </c:strCache>
            </c:strRef>
          </c:cat>
          <c:val>
            <c:numRef>
              <c:f>Dashboard!$F$5:$F$16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8-4CCA-9D59-F7CB422B733A}"/>
            </c:ext>
          </c:extLst>
        </c:ser>
        <c:ser>
          <c:idx val="2"/>
          <c:order val="2"/>
          <c:tx>
            <c:v>% ngày</c:v>
          </c:tx>
          <c:invertIfNegative val="1"/>
          <c:cat>
            <c:strRef>
              <c:f>Dashboard!$D$5:$D$16</c:f>
              <c:strCache>
                <c:ptCount val="12"/>
                <c:pt idx="0">
                  <c:v>1. Nền tảng</c:v>
                </c:pt>
                <c:pt idx="1">
                  <c:v>2. CTDL &amp; thuật toán kinh điển</c:v>
                </c:pt>
                <c:pt idx="2">
                  <c:v>3. RMQ &amp; Segment Tree</c:v>
                </c:pt>
                <c:pt idx="3">
                  <c:v>4. Quay lui &amp; Nhánh cận</c:v>
                </c:pt>
                <c:pt idx="4">
                  <c:v>5. Tham lam</c:v>
                </c:pt>
                <c:pt idx="5">
                  <c:v>6. Chia để trị</c:v>
                </c:pt>
                <c:pt idx="6">
                  <c:v>7. Quy hoạch động</c:v>
                </c:pt>
                <c:pt idx="7">
                  <c:v>8. Đồ thị, DFS &amp; Cây</c:v>
                </c:pt>
                <c:pt idx="8">
                  <c:v>9. Luồng &amp; Ghép cặp</c:v>
                </c:pt>
                <c:pt idx="9">
                  <c:v>10. Hình học</c:v>
                </c:pt>
                <c:pt idx="10">
                  <c:v>11. Xâu</c:v>
                </c:pt>
                <c:pt idx="11">
                  <c:v>12. NP-đầy đủ &amp; Tổng ôn</c:v>
                </c:pt>
              </c:strCache>
            </c:strRef>
          </c:cat>
          <c:val>
            <c:numRef>
              <c:f>Dashboard!$G$5:$G$16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8-4CCA-9D59-F7CB422B733A}"/>
            </c:ext>
          </c:extLst>
        </c:ser>
        <c:ser>
          <c:idx val="3"/>
          <c:order val="3"/>
          <c:tx>
            <c:v>Bài KH</c:v>
          </c:tx>
          <c:invertIfNegative val="1"/>
          <c:cat>
            <c:strRef>
              <c:f>Dashboard!$D$5:$D$16</c:f>
              <c:strCache>
                <c:ptCount val="12"/>
                <c:pt idx="0">
                  <c:v>1. Nền tảng</c:v>
                </c:pt>
                <c:pt idx="1">
                  <c:v>2. CTDL &amp; thuật toán kinh điển</c:v>
                </c:pt>
                <c:pt idx="2">
                  <c:v>3. RMQ &amp; Segment Tree</c:v>
                </c:pt>
                <c:pt idx="3">
                  <c:v>4. Quay lui &amp; Nhánh cận</c:v>
                </c:pt>
                <c:pt idx="4">
                  <c:v>5. Tham lam</c:v>
                </c:pt>
                <c:pt idx="5">
                  <c:v>6. Chia để trị</c:v>
                </c:pt>
                <c:pt idx="6">
                  <c:v>7. Quy hoạch động</c:v>
                </c:pt>
                <c:pt idx="7">
                  <c:v>8. Đồ thị, DFS &amp; Cây</c:v>
                </c:pt>
                <c:pt idx="8">
                  <c:v>9. Luồng &amp; Ghép cặp</c:v>
                </c:pt>
                <c:pt idx="9">
                  <c:v>10. Hình học</c:v>
                </c:pt>
                <c:pt idx="10">
                  <c:v>11. Xâu</c:v>
                </c:pt>
                <c:pt idx="11">
                  <c:v>12. NP-đầy đủ &amp; Tổng ôn</c:v>
                </c:pt>
              </c:strCache>
            </c:strRef>
          </c:cat>
          <c:val>
            <c:numRef>
              <c:f>Dashboard!$H$5:$H$16</c:f>
              <c:numCache>
                <c:formatCode>General</c:formatCode>
                <c:ptCount val="12"/>
                <c:pt idx="0">
                  <c:v>37</c:v>
                </c:pt>
                <c:pt idx="1">
                  <c:v>69</c:v>
                </c:pt>
                <c:pt idx="2">
                  <c:v>17</c:v>
                </c:pt>
                <c:pt idx="3">
                  <c:v>34</c:v>
                </c:pt>
                <c:pt idx="4">
                  <c:v>27</c:v>
                </c:pt>
                <c:pt idx="5">
                  <c:v>17</c:v>
                </c:pt>
                <c:pt idx="6">
                  <c:v>63</c:v>
                </c:pt>
                <c:pt idx="7">
                  <c:v>47</c:v>
                </c:pt>
                <c:pt idx="8">
                  <c:v>5</c:v>
                </c:pt>
                <c:pt idx="9">
                  <c:v>10</c:v>
                </c:pt>
                <c:pt idx="10">
                  <c:v>11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88-4CCA-9D59-F7CB422B733A}"/>
            </c:ext>
          </c:extLst>
        </c:ser>
        <c:ser>
          <c:idx val="4"/>
          <c:order val="4"/>
          <c:tx>
            <c:v>Bài xong</c:v>
          </c:tx>
          <c:invertIfNegative val="1"/>
          <c:cat>
            <c:strRef>
              <c:f>Dashboard!$D$5:$D$16</c:f>
              <c:strCache>
                <c:ptCount val="12"/>
                <c:pt idx="0">
                  <c:v>1. Nền tảng</c:v>
                </c:pt>
                <c:pt idx="1">
                  <c:v>2. CTDL &amp; thuật toán kinh điển</c:v>
                </c:pt>
                <c:pt idx="2">
                  <c:v>3. RMQ &amp; Segment Tree</c:v>
                </c:pt>
                <c:pt idx="3">
                  <c:v>4. Quay lui &amp; Nhánh cận</c:v>
                </c:pt>
                <c:pt idx="4">
                  <c:v>5. Tham lam</c:v>
                </c:pt>
                <c:pt idx="5">
                  <c:v>6. Chia để trị</c:v>
                </c:pt>
                <c:pt idx="6">
                  <c:v>7. Quy hoạch động</c:v>
                </c:pt>
                <c:pt idx="7">
                  <c:v>8. Đồ thị, DFS &amp; Cây</c:v>
                </c:pt>
                <c:pt idx="8">
                  <c:v>9. Luồng &amp; Ghép cặp</c:v>
                </c:pt>
                <c:pt idx="9">
                  <c:v>10. Hình học</c:v>
                </c:pt>
                <c:pt idx="10">
                  <c:v>11. Xâu</c:v>
                </c:pt>
                <c:pt idx="11">
                  <c:v>12. NP-đầy đủ &amp; Tổng ôn</c:v>
                </c:pt>
              </c:strCache>
            </c:strRef>
          </c:cat>
          <c:val>
            <c:numRef>
              <c:f>Dashboard!$I$5:$I$16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88-4CCA-9D59-F7CB422B733A}"/>
            </c:ext>
          </c:extLst>
        </c:ser>
        <c:ser>
          <c:idx val="5"/>
          <c:order val="5"/>
          <c:tx>
            <c:v>% bài</c:v>
          </c:tx>
          <c:invertIfNegative val="1"/>
          <c:cat>
            <c:strRef>
              <c:f>Dashboard!$D$5:$D$16</c:f>
              <c:strCache>
                <c:ptCount val="12"/>
                <c:pt idx="0">
                  <c:v>1. Nền tảng</c:v>
                </c:pt>
                <c:pt idx="1">
                  <c:v>2. CTDL &amp; thuật toán kinh điển</c:v>
                </c:pt>
                <c:pt idx="2">
                  <c:v>3. RMQ &amp; Segment Tree</c:v>
                </c:pt>
                <c:pt idx="3">
                  <c:v>4. Quay lui &amp; Nhánh cận</c:v>
                </c:pt>
                <c:pt idx="4">
                  <c:v>5. Tham lam</c:v>
                </c:pt>
                <c:pt idx="5">
                  <c:v>6. Chia để trị</c:v>
                </c:pt>
                <c:pt idx="6">
                  <c:v>7. Quy hoạch động</c:v>
                </c:pt>
                <c:pt idx="7">
                  <c:v>8. Đồ thị, DFS &amp; Cây</c:v>
                </c:pt>
                <c:pt idx="8">
                  <c:v>9. Luồng &amp; Ghép cặp</c:v>
                </c:pt>
                <c:pt idx="9">
                  <c:v>10. Hình học</c:v>
                </c:pt>
                <c:pt idx="10">
                  <c:v>11. Xâu</c:v>
                </c:pt>
                <c:pt idx="11">
                  <c:v>12. NP-đầy đủ &amp; Tổng ôn</c:v>
                </c:pt>
              </c:strCache>
            </c:strRef>
          </c:cat>
          <c:val>
            <c:numRef>
              <c:f>Dashboard!$J$5:$J$16</c:f>
              <c:numCache>
                <c:formatCode>0%</c:formatCode>
                <c:ptCount val="12"/>
                <c:pt idx="0">
                  <c:v>2.7027027027027029E-2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88-4CCA-9D59-F7CB422B7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LeetCode theo độ khó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Tổng</c:v>
          </c:tx>
          <c:invertIfNegative val="1"/>
          <c:cat>
            <c:strRef>
              <c:f>Dashboard!$D$20:$D$22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Dashboard!$E$20:$E$22</c:f>
              <c:numCache>
                <c:formatCode>General</c:formatCode>
                <c:ptCount val="3"/>
                <c:pt idx="0">
                  <c:v>58</c:v>
                </c:pt>
                <c:pt idx="1">
                  <c:v>199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E-4A41-A8D6-501D2E5BDD12}"/>
            </c:ext>
          </c:extLst>
        </c:ser>
        <c:ser>
          <c:idx val="1"/>
          <c:order val="1"/>
          <c:tx>
            <c:v>Xong</c:v>
          </c:tx>
          <c:invertIfNegative val="1"/>
          <c:cat>
            <c:strRef>
              <c:f>Dashboard!$D$20:$D$22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Dashboard!$F$20:$F$22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E-4A41-A8D6-501D2E5BD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Giờ học theo tuần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Giờ KH</c:v>
          </c:tx>
          <c:invertIfNegative val="1"/>
          <c:cat>
            <c:numRef>
              <c:f>Dashboard!$D$26:$D$40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Dashboard!$E$26:$E$40</c:f>
              <c:numCache>
                <c:formatCode>0.0</c:formatCode>
                <c:ptCount val="15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D-441F-8BAD-3ED55CDE17F8}"/>
            </c:ext>
          </c:extLst>
        </c:ser>
        <c:ser>
          <c:idx val="1"/>
          <c:order val="1"/>
          <c:tx>
            <c:v>Giờ thực tế</c:v>
          </c:tx>
          <c:invertIfNegative val="1"/>
          <c:cat>
            <c:numRef>
              <c:f>Dashboard!$D$26:$D$40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Dashboard!$F$26:$F$40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D-441F-8BAD-3ED55CDE1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20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/>
  </sheetViews>
  <sheetFormatPr defaultRowHeight="14.25"/>
  <cols>
    <col min="1" max="1" width="46" customWidth="1"/>
    <col min="2" max="2" width="24" customWidth="1"/>
    <col min="3" max="3" width="3" customWidth="1"/>
    <col min="4" max="4" width="32" customWidth="1"/>
    <col min="5" max="10" width="10" customWidth="1"/>
    <col min="11" max="11" width="3" customWidth="1"/>
    <col min="12" max="16" width="12" customWidth="1"/>
  </cols>
  <sheetData>
    <row r="1" spans="1:10" ht="18">
      <c r="A1" s="47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48" t="s">
        <v>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>
      <c r="A3" s="2" t="s">
        <v>2</v>
      </c>
      <c r="B3" s="2"/>
      <c r="D3" s="45" t="s">
        <v>3</v>
      </c>
      <c r="E3" s="46"/>
      <c r="F3" s="46"/>
      <c r="G3" s="46"/>
      <c r="H3" s="46"/>
      <c r="I3" s="46"/>
      <c r="J3" s="46"/>
    </row>
    <row r="4" spans="1:10">
      <c r="A4" s="29" t="s">
        <v>4</v>
      </c>
      <c r="B4" s="31">
        <v>46300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29" t="s">
        <v>12</v>
      </c>
      <c r="B5" s="32">
        <v>3</v>
      </c>
      <c r="D5" s="14" t="s">
        <v>13</v>
      </c>
      <c r="E5" s="5">
        <f>COUNTIF(Roadmap!$C$5:$C$104,$D5)</f>
        <v>10</v>
      </c>
      <c r="F5" s="5">
        <f ca="1">COUNTIFS(Roadmap!$C$5:$C$104,$D5,Roadmap!$P$5:$P$104,"Hoàn thành")</f>
        <v>0</v>
      </c>
      <c r="G5" s="39">
        <f t="shared" ref="G5:G16" ca="1" si="0">IF(E5=0,0,F5/E5)</f>
        <v>0</v>
      </c>
      <c r="H5" s="5">
        <f>COUNTIF(LeetCode!$B$5:$B$400,$D5)</f>
        <v>37</v>
      </c>
      <c r="I5" s="5">
        <f>COUNTIFS(LeetCode!$B$5:$B$400,$D5,LeetCode!$H$5:$H$400,"Xong")</f>
        <v>1</v>
      </c>
      <c r="J5" s="39">
        <f t="shared" ref="J5:J16" si="1">IF(H5=0,0,I5/H5)</f>
        <v>2.7027027027027029E-2</v>
      </c>
    </row>
    <row r="6" spans="1:10">
      <c r="A6" s="29" t="s">
        <v>14</v>
      </c>
      <c r="B6" s="32">
        <v>7</v>
      </c>
      <c r="D6" s="15" t="s">
        <v>15</v>
      </c>
      <c r="E6" s="5">
        <f>COUNTIF(Roadmap!$C$5:$C$104,$D6)</f>
        <v>18</v>
      </c>
      <c r="F6" s="5">
        <f ca="1">COUNTIFS(Roadmap!$C$5:$C$104,$D6,Roadmap!$P$5:$P$104,"Hoàn thành")</f>
        <v>0</v>
      </c>
      <c r="G6" s="39">
        <f t="shared" ca="1" si="0"/>
        <v>0</v>
      </c>
      <c r="H6" s="5">
        <f>COUNTIF(LeetCode!$B$5:$B$400,$D6)</f>
        <v>69</v>
      </c>
      <c r="I6" s="5">
        <f>COUNTIFS(LeetCode!$B$5:$B$400,$D6,LeetCode!$H$5:$H$400,"Xong")</f>
        <v>0</v>
      </c>
      <c r="J6" s="39">
        <f t="shared" si="1"/>
        <v>0</v>
      </c>
    </row>
    <row r="7" spans="1:10">
      <c r="A7" s="29" t="s">
        <v>16</v>
      </c>
      <c r="B7" s="32">
        <v>14</v>
      </c>
      <c r="D7" s="16" t="s">
        <v>17</v>
      </c>
      <c r="E7" s="5">
        <f>COUNTIF(Roadmap!$C$5:$C$104,$D7)</f>
        <v>6</v>
      </c>
      <c r="F7" s="5">
        <f ca="1">COUNTIFS(Roadmap!$C$5:$C$104,$D7,Roadmap!$P$5:$P$104,"Hoàn thành")</f>
        <v>0</v>
      </c>
      <c r="G7" s="39">
        <f t="shared" ca="1" si="0"/>
        <v>0</v>
      </c>
      <c r="H7" s="5">
        <f>COUNTIF(LeetCode!$B$5:$B$400,$D7)</f>
        <v>17</v>
      </c>
      <c r="I7" s="5">
        <f>COUNTIFS(LeetCode!$B$5:$B$400,$D7,LeetCode!$H$5:$H$400,"Xong")</f>
        <v>0</v>
      </c>
      <c r="J7" s="39">
        <f t="shared" si="1"/>
        <v>0</v>
      </c>
    </row>
    <row r="8" spans="1:10">
      <c r="A8" s="29" t="s">
        <v>18</v>
      </c>
      <c r="B8" s="34">
        <f ca="1">MAX(0,TODAY()-B4+1)</f>
        <v>1</v>
      </c>
      <c r="D8" s="6" t="s">
        <v>19</v>
      </c>
      <c r="E8" s="5">
        <f>COUNTIF(Roadmap!$C$5:$C$104,$D8)</f>
        <v>10</v>
      </c>
      <c r="F8" s="5">
        <f ca="1">COUNTIFS(Roadmap!$C$5:$C$104,$D8,Roadmap!$P$5:$P$104,"Hoàn thành")</f>
        <v>0</v>
      </c>
      <c r="G8" s="39">
        <f t="shared" ca="1" si="0"/>
        <v>0</v>
      </c>
      <c r="H8" s="5">
        <f>COUNTIF(LeetCode!$B$5:$B$400,$D8)</f>
        <v>34</v>
      </c>
      <c r="I8" s="5">
        <f>COUNTIFS(LeetCode!$B$5:$B$400,$D8,LeetCode!$H$5:$H$400,"Xong")</f>
        <v>0</v>
      </c>
      <c r="J8" s="39">
        <f t="shared" si="1"/>
        <v>0</v>
      </c>
    </row>
    <row r="9" spans="1:10">
      <c r="A9" s="29" t="s">
        <v>20</v>
      </c>
      <c r="B9" s="33" t="str">
        <f ca="1">IF(B8&lt;1,"Chưa bắt đầu",IF(B8&gt;100,"Đã hết 100 ngày",INDEX(Roadmap!$D$5:$D$104,B8)))</f>
        <v>Môi trường, I/O nhanh, độ phức tạp Big-O</v>
      </c>
      <c r="D9" s="17" t="s">
        <v>21</v>
      </c>
      <c r="E9" s="5">
        <f>COUNTIF(Roadmap!$C$5:$C$104,$D9)</f>
        <v>7</v>
      </c>
      <c r="F9" s="5">
        <f ca="1">COUNTIFS(Roadmap!$C$5:$C$104,$D9,Roadmap!$P$5:$P$104,"Hoàn thành")</f>
        <v>0</v>
      </c>
      <c r="G9" s="39">
        <f t="shared" ca="1" si="0"/>
        <v>0</v>
      </c>
      <c r="H9" s="5">
        <f>COUNTIF(LeetCode!$B$5:$B$400,$D9)</f>
        <v>27</v>
      </c>
      <c r="I9" s="5">
        <f>COUNTIFS(LeetCode!$B$5:$B$400,$D9,LeetCode!$H$5:$H$400,"Xong")</f>
        <v>0</v>
      </c>
      <c r="J9" s="39">
        <f t="shared" si="1"/>
        <v>0</v>
      </c>
    </row>
    <row r="10" spans="1:10">
      <c r="A10" s="29" t="s">
        <v>22</v>
      </c>
      <c r="B10" s="33" t="str">
        <f ca="1">IF(AND(B8&gt;=1,B8&lt;=100),INDEX(Roadmap!$I$5:$I$104,B8),"-")</f>
        <v>1, 412, 217</v>
      </c>
      <c r="D10" s="18" t="s">
        <v>23</v>
      </c>
      <c r="E10" s="5">
        <f>COUNTIF(Roadmap!$C$5:$C$104,$D10)</f>
        <v>5</v>
      </c>
      <c r="F10" s="5">
        <f ca="1">COUNTIFS(Roadmap!$C$5:$C$104,$D10,Roadmap!$P$5:$P$104,"Hoàn thành")</f>
        <v>0</v>
      </c>
      <c r="G10" s="39">
        <f t="shared" ca="1" si="0"/>
        <v>0</v>
      </c>
      <c r="H10" s="5">
        <f>COUNTIF(LeetCode!$B$5:$B$400,$D10)</f>
        <v>17</v>
      </c>
      <c r="I10" s="5">
        <f>COUNTIFS(LeetCode!$B$5:$B$400,$D10,LeetCode!$H$5:$H$400,"Xong")</f>
        <v>0</v>
      </c>
      <c r="J10" s="39">
        <f t="shared" si="1"/>
        <v>0</v>
      </c>
    </row>
    <row r="11" spans="1:10">
      <c r="A11" s="29" t="s">
        <v>24</v>
      </c>
      <c r="B11" s="35">
        <f>B4+99</f>
        <v>46399</v>
      </c>
      <c r="D11" s="19" t="s">
        <v>25</v>
      </c>
      <c r="E11" s="5">
        <f>COUNTIF(Roadmap!$C$5:$C$104,$D11)</f>
        <v>17</v>
      </c>
      <c r="F11" s="5">
        <f ca="1">COUNTIFS(Roadmap!$C$5:$C$104,$D11,Roadmap!$P$5:$P$104,"Hoàn thành")</f>
        <v>0</v>
      </c>
      <c r="G11" s="39">
        <f t="shared" ca="1" si="0"/>
        <v>0</v>
      </c>
      <c r="H11" s="5">
        <f>COUNTIF(LeetCode!$B$5:$B$400,$D11)</f>
        <v>63</v>
      </c>
      <c r="I11" s="5">
        <f>COUNTIFS(LeetCode!$B$5:$B$400,$D11,LeetCode!$H$5:$H$400,"Xong")</f>
        <v>0</v>
      </c>
      <c r="J11" s="39">
        <f t="shared" si="1"/>
        <v>0</v>
      </c>
    </row>
    <row r="12" spans="1:10">
      <c r="D12" s="20" t="s">
        <v>26</v>
      </c>
      <c r="E12" s="5">
        <f>COUNTIF(Roadmap!$C$5:$C$104,$D12)</f>
        <v>13</v>
      </c>
      <c r="F12" s="5">
        <f ca="1">COUNTIFS(Roadmap!$C$5:$C$104,$D12,Roadmap!$P$5:$P$104,"Hoàn thành")</f>
        <v>0</v>
      </c>
      <c r="G12" s="39">
        <f t="shared" ca="1" si="0"/>
        <v>0</v>
      </c>
      <c r="H12" s="5">
        <f>COUNTIF(LeetCode!$B$5:$B$400,$D12)</f>
        <v>47</v>
      </c>
      <c r="I12" s="5">
        <f>COUNTIFS(LeetCode!$B$5:$B$400,$D12,LeetCode!$H$5:$H$400,"Xong")</f>
        <v>0</v>
      </c>
      <c r="J12" s="39">
        <f t="shared" si="1"/>
        <v>0</v>
      </c>
    </row>
    <row r="13" spans="1:10">
      <c r="A13" s="2" t="s">
        <v>27</v>
      </c>
      <c r="B13" s="2"/>
      <c r="D13" s="21" t="s">
        <v>28</v>
      </c>
      <c r="E13" s="5">
        <f>COUNTIF(Roadmap!$C$5:$C$104,$D13)</f>
        <v>4</v>
      </c>
      <c r="F13" s="5">
        <f ca="1">COUNTIFS(Roadmap!$C$5:$C$104,$D13,Roadmap!$P$5:$P$104,"Hoàn thành")</f>
        <v>0</v>
      </c>
      <c r="G13" s="39">
        <f t="shared" ca="1" si="0"/>
        <v>0</v>
      </c>
      <c r="H13" s="5">
        <f>COUNTIF(LeetCode!$B$5:$B$400,$D13)</f>
        <v>5</v>
      </c>
      <c r="I13" s="5">
        <f>COUNTIFS(LeetCode!$B$5:$B$400,$D13,LeetCode!$H$5:$H$400,"Xong")</f>
        <v>0</v>
      </c>
      <c r="J13" s="39">
        <f t="shared" si="1"/>
        <v>0</v>
      </c>
    </row>
    <row r="14" spans="1:10">
      <c r="A14" s="29" t="s">
        <v>29</v>
      </c>
      <c r="B14" s="34">
        <f ca="1">COUNTIF(Roadmap!$P$5:$P$104,"Hoàn thành")</f>
        <v>0</v>
      </c>
      <c r="D14" s="22" t="s">
        <v>30</v>
      </c>
      <c r="E14" s="5">
        <f>COUNTIF(Roadmap!$C$5:$C$104,$D14)</f>
        <v>3</v>
      </c>
      <c r="F14" s="5">
        <f ca="1">COUNTIFS(Roadmap!$C$5:$C$104,$D14,Roadmap!$P$5:$P$104,"Hoàn thành")</f>
        <v>0</v>
      </c>
      <c r="G14" s="39">
        <f t="shared" ca="1" si="0"/>
        <v>0</v>
      </c>
      <c r="H14" s="5">
        <f>COUNTIF(LeetCode!$B$5:$B$400,$D14)</f>
        <v>10</v>
      </c>
      <c r="I14" s="5">
        <f>COUNTIFS(LeetCode!$B$5:$B$400,$D14,LeetCode!$H$5:$H$400,"Xong")</f>
        <v>0</v>
      </c>
      <c r="J14" s="39">
        <f t="shared" si="1"/>
        <v>0</v>
      </c>
    </row>
    <row r="15" spans="1:10">
      <c r="A15" s="29" t="s">
        <v>31</v>
      </c>
      <c r="B15" s="36">
        <f ca="1">B14/COUNT(Roadmap!$A$5:$A$104)</f>
        <v>0</v>
      </c>
      <c r="D15" s="23" t="s">
        <v>32</v>
      </c>
      <c r="E15" s="5">
        <f>COUNTIF(Roadmap!$C$5:$C$104,$D15)</f>
        <v>4</v>
      </c>
      <c r="F15" s="5">
        <f ca="1">COUNTIFS(Roadmap!$C$5:$C$104,$D15,Roadmap!$P$5:$P$104,"Hoàn thành")</f>
        <v>0</v>
      </c>
      <c r="G15" s="39">
        <f t="shared" ca="1" si="0"/>
        <v>0</v>
      </c>
      <c r="H15" s="5">
        <f>COUNTIF(LeetCode!$B$5:$B$400,$D15)</f>
        <v>11</v>
      </c>
      <c r="I15" s="5">
        <f>COUNTIFS(LeetCode!$B$5:$B$400,$D15,LeetCode!$H$5:$H$400,"Xong")</f>
        <v>0</v>
      </c>
      <c r="J15" s="39">
        <f t="shared" si="1"/>
        <v>0</v>
      </c>
    </row>
    <row r="16" spans="1:10">
      <c r="A16" s="29" t="s">
        <v>33</v>
      </c>
      <c r="B16" s="34">
        <f ca="1">MIN(100,MAX(0,B8-1))</f>
        <v>0</v>
      </c>
      <c r="D16" s="24" t="s">
        <v>34</v>
      </c>
      <c r="E16" s="5">
        <f>COUNTIF(Roadmap!$C$5:$C$104,$D16)</f>
        <v>3</v>
      </c>
      <c r="F16" s="5">
        <f ca="1">COUNTIFS(Roadmap!$C$5:$C$104,$D16,Roadmap!$P$5:$P$104,"Hoàn thành")</f>
        <v>0</v>
      </c>
      <c r="G16" s="39">
        <f t="shared" ca="1" si="0"/>
        <v>0</v>
      </c>
      <c r="H16" s="5">
        <f>COUNTIF(LeetCode!$B$5:$B$400,$D16)</f>
        <v>1</v>
      </c>
      <c r="I16" s="5">
        <f>COUNTIFS(LeetCode!$B$5:$B$400,$D16,LeetCode!$H$5:$H$400,"Xong")</f>
        <v>0</v>
      </c>
      <c r="J16" s="39">
        <f t="shared" si="1"/>
        <v>0</v>
      </c>
    </row>
    <row r="17" spans="1:7">
      <c r="A17" s="29" t="s">
        <v>35</v>
      </c>
      <c r="B17" s="37">
        <f ca="1">B14-B16</f>
        <v>0</v>
      </c>
    </row>
    <row r="18" spans="1:7">
      <c r="A18" s="29" t="s">
        <v>36</v>
      </c>
      <c r="B18" s="34">
        <f ca="1">COUNTIF(Roadmap!$P$5:$P$104,"Trễ hạn")</f>
        <v>0</v>
      </c>
      <c r="D18" s="45" t="s">
        <v>37</v>
      </c>
      <c r="E18" s="46"/>
      <c r="F18" s="46"/>
      <c r="G18" s="46"/>
    </row>
    <row r="19" spans="1:7">
      <c r="D19" s="3" t="s">
        <v>38</v>
      </c>
      <c r="E19" s="3" t="s">
        <v>39</v>
      </c>
      <c r="F19" s="3" t="s">
        <v>40</v>
      </c>
      <c r="G19" s="3" t="s">
        <v>41</v>
      </c>
    </row>
    <row r="20" spans="1:7">
      <c r="A20" s="2" t="s">
        <v>42</v>
      </c>
      <c r="B20" s="2"/>
      <c r="D20" s="40" t="s">
        <v>43</v>
      </c>
      <c r="E20" s="40">
        <f>COUNTIF(LeetCode!$F$5:$F$400,$D20)</f>
        <v>58</v>
      </c>
      <c r="F20" s="40">
        <f>COUNTIFS(LeetCode!$F$5:$F$400,$D20,LeetCode!$H$5:$H$400,"Xong")</f>
        <v>1</v>
      </c>
      <c r="G20" s="41">
        <f>IF(E20=0,0,F20/E20)</f>
        <v>1.7241379310344827E-2</v>
      </c>
    </row>
    <row r="21" spans="1:7">
      <c r="A21" s="29" t="s">
        <v>44</v>
      </c>
      <c r="B21" s="34">
        <f>COUNTA(LeetCode!$D$5:$D$400)</f>
        <v>338</v>
      </c>
      <c r="D21" s="40" t="s">
        <v>45</v>
      </c>
      <c r="E21" s="40">
        <f>COUNTIF(LeetCode!$F$5:$F$400,$D21)</f>
        <v>199</v>
      </c>
      <c r="F21" s="40">
        <f>COUNTIFS(LeetCode!$F$5:$F$400,$D21,LeetCode!$H$5:$H$400,"Xong")</f>
        <v>0</v>
      </c>
      <c r="G21" s="41">
        <f>IF(E21=0,0,F21/E21)</f>
        <v>0</v>
      </c>
    </row>
    <row r="22" spans="1:7">
      <c r="A22" s="29" t="s">
        <v>46</v>
      </c>
      <c r="B22" s="34">
        <f>COUNTIF(LeetCode!$H$5:$H$400,"Xong")</f>
        <v>1</v>
      </c>
      <c r="D22" s="40" t="s">
        <v>47</v>
      </c>
      <c r="E22" s="40">
        <f>COUNTIF(LeetCode!$F$5:$F$400,$D22)</f>
        <v>81</v>
      </c>
      <c r="F22" s="40">
        <f>COUNTIFS(LeetCode!$F$5:$F$400,$D22,LeetCode!$H$5:$H$400,"Xong")</f>
        <v>0</v>
      </c>
      <c r="G22" s="41">
        <f>IF(E22=0,0,F22/E22)</f>
        <v>0</v>
      </c>
    </row>
    <row r="23" spans="1:7">
      <c r="A23" s="29" t="s">
        <v>48</v>
      </c>
      <c r="B23" s="36">
        <f>IF(B21=0,0,B22/B21)</f>
        <v>2.9585798816568047E-3</v>
      </c>
    </row>
    <row r="24" spans="1:7">
      <c r="A24" s="29" t="s">
        <v>49</v>
      </c>
      <c r="B24" s="34">
        <f>COUNTIF(LeetCode!$H$5:$H$400,"Cần ôn")</f>
        <v>0</v>
      </c>
      <c r="D24" s="45" t="s">
        <v>50</v>
      </c>
      <c r="E24" s="46"/>
      <c r="F24" s="46"/>
      <c r="G24" s="46"/>
    </row>
    <row r="25" spans="1:7">
      <c r="A25" s="29" t="s">
        <v>51</v>
      </c>
      <c r="B25" s="38">
        <f>IF(COUNTIFS(LeetCode!$H$5:$H$400,"Xong",LeetCode!$L$5:$L$400,"&gt;0")=0,0,SUMIFS(LeetCode!$L$5:$L$400,LeetCode!$H$5:$H$400,"Xong",LeetCode!$L$5:$L$400,"&gt;0")/COUNTIFS(LeetCode!$H$5:$H$400,"Xong",LeetCode!$L$5:$L$400,"&gt;0"))</f>
        <v>1</v>
      </c>
      <c r="D25" s="3" t="s">
        <v>52</v>
      </c>
      <c r="E25" s="3" t="s">
        <v>53</v>
      </c>
      <c r="F25" s="3" t="s">
        <v>54</v>
      </c>
      <c r="G25" s="3" t="s">
        <v>55</v>
      </c>
    </row>
    <row r="26" spans="1:7">
      <c r="A26" s="29" t="s">
        <v>56</v>
      </c>
      <c r="B26" s="34">
        <f ca="1">COUNTIF(LeetCode!$Q$5:$Q$400,TODAY())</f>
        <v>0</v>
      </c>
      <c r="D26" s="40">
        <v>1</v>
      </c>
      <c r="E26" s="42">
        <f>SUMIFS(NhatKy!$E$5:$E$104,NhatKy!$C$5:$C$104,$D26)</f>
        <v>21</v>
      </c>
      <c r="F26" s="42">
        <f>SUMIFS(NhatKy!$D$5:$D$104,NhatKy!$C$5:$C$104,$D26)</f>
        <v>0</v>
      </c>
      <c r="G26" s="40">
        <f>SUMIFS(NhatKy!$F$5:$F$104,NhatKy!$C$5:$C$104,$D26)</f>
        <v>1</v>
      </c>
    </row>
    <row r="27" spans="1:7">
      <c r="A27" s="29" t="s">
        <v>57</v>
      </c>
      <c r="B27" s="35" t="str">
        <f ca="1">IF(OR(B22=0,B16=0),"-",B4+ROUNDUP(B21/(B22/B16),0)-1)</f>
        <v>-</v>
      </c>
      <c r="D27" s="40">
        <v>2</v>
      </c>
      <c r="E27" s="42">
        <f>SUMIFS(NhatKy!$E$5:$E$104,NhatKy!$C$5:$C$104,$D27)</f>
        <v>21</v>
      </c>
      <c r="F27" s="42">
        <f>SUMIFS(NhatKy!$D$5:$D$104,NhatKy!$C$5:$C$104,$D27)</f>
        <v>0</v>
      </c>
      <c r="G27" s="40">
        <f>SUMIFS(NhatKy!$F$5:$F$104,NhatKy!$C$5:$C$104,$D27)</f>
        <v>0</v>
      </c>
    </row>
    <row r="28" spans="1:7">
      <c r="D28" s="40">
        <v>3</v>
      </c>
      <c r="E28" s="42">
        <f>SUMIFS(NhatKy!$E$5:$E$104,NhatKy!$C$5:$C$104,$D28)</f>
        <v>21</v>
      </c>
      <c r="F28" s="42">
        <f>SUMIFS(NhatKy!$D$5:$D$104,NhatKy!$C$5:$C$104,$D28)</f>
        <v>0</v>
      </c>
      <c r="G28" s="40">
        <f>SUMIFS(NhatKy!$F$5:$F$104,NhatKy!$C$5:$C$104,$D28)</f>
        <v>0</v>
      </c>
    </row>
    <row r="29" spans="1:7">
      <c r="A29" s="2" t="s">
        <v>58</v>
      </c>
      <c r="B29" s="2"/>
      <c r="D29" s="40">
        <v>4</v>
      </c>
      <c r="E29" s="42">
        <f>SUMIFS(NhatKy!$E$5:$E$104,NhatKy!$C$5:$C$104,$D29)</f>
        <v>21</v>
      </c>
      <c r="F29" s="42">
        <f>SUMIFS(NhatKy!$D$5:$D$104,NhatKy!$C$5:$C$104,$D29)</f>
        <v>0</v>
      </c>
      <c r="G29" s="40">
        <f>SUMIFS(NhatKy!$F$5:$F$104,NhatKy!$C$5:$C$104,$D29)</f>
        <v>0</v>
      </c>
    </row>
    <row r="30" spans="1:7">
      <c r="A30" s="29" t="s">
        <v>59</v>
      </c>
      <c r="B30" s="38">
        <f>SUM(Roadmap!$Q$5:$Q$104)</f>
        <v>302</v>
      </c>
      <c r="D30" s="40">
        <v>5</v>
      </c>
      <c r="E30" s="42">
        <f>SUMIFS(NhatKy!$E$5:$E$104,NhatKy!$C$5:$C$104,$D30)</f>
        <v>21</v>
      </c>
      <c r="F30" s="42">
        <f>SUMIFS(NhatKy!$D$5:$D$104,NhatKy!$C$5:$C$104,$D30)</f>
        <v>0</v>
      </c>
      <c r="G30" s="40">
        <f>SUMIFS(NhatKy!$F$5:$F$104,NhatKy!$C$5:$C$104,$D30)</f>
        <v>0</v>
      </c>
    </row>
    <row r="31" spans="1:7">
      <c r="A31" s="29" t="s">
        <v>60</v>
      </c>
      <c r="B31" s="38">
        <f>SUM(NhatKy!$D$5:$D$104)</f>
        <v>0</v>
      </c>
      <c r="D31" s="40">
        <v>6</v>
      </c>
      <c r="E31" s="42">
        <f>SUMIFS(NhatKy!$E$5:$E$104,NhatKy!$C$5:$C$104,$D31)</f>
        <v>21</v>
      </c>
      <c r="F31" s="42">
        <f>SUMIFS(NhatKy!$D$5:$D$104,NhatKy!$C$5:$C$104,$D31)</f>
        <v>0</v>
      </c>
      <c r="G31" s="40">
        <f>SUMIFS(NhatKy!$F$5:$F$104,NhatKy!$C$5:$C$104,$D31)</f>
        <v>0</v>
      </c>
    </row>
    <row r="32" spans="1:7">
      <c r="A32" s="29" t="s">
        <v>61</v>
      </c>
      <c r="B32" s="38">
        <f>IF(COUNTIF(NhatKy!$D$5:$D$104,"&gt;0")=0,0,B31/COUNTIF(NhatKy!$D$5:$D$104,"&gt;0"))</f>
        <v>0</v>
      </c>
      <c r="D32" s="40">
        <v>7</v>
      </c>
      <c r="E32" s="42">
        <f>SUMIFS(NhatKy!$E$5:$E$104,NhatKy!$C$5:$C$104,$D32)</f>
        <v>21</v>
      </c>
      <c r="F32" s="42">
        <f>SUMIFS(NhatKy!$D$5:$D$104,NhatKy!$C$5:$C$104,$D32)</f>
        <v>0</v>
      </c>
      <c r="G32" s="40">
        <f>SUMIFS(NhatKy!$F$5:$F$104,NhatKy!$C$5:$C$104,$D32)</f>
        <v>0</v>
      </c>
    </row>
    <row r="33" spans="1:7">
      <c r="A33" s="29" t="s">
        <v>62</v>
      </c>
      <c r="B33" s="34">
        <f ca="1">IF(OR(B8&lt;1,B8&gt;100),0,IF(INDEX(NhatKy!$D$5:$D$104,B8)&gt;0,INDEX(NhatKy!$J$5:$J$104,B8),IF(B8&gt;1,INDEX(NhatKy!$J$5:$J$104,B8-1),0)))</f>
        <v>0</v>
      </c>
      <c r="D33" s="40">
        <v>8</v>
      </c>
      <c r="E33" s="42">
        <f>SUMIFS(NhatKy!$E$5:$E$104,NhatKy!$C$5:$C$104,$D33)</f>
        <v>21</v>
      </c>
      <c r="F33" s="42">
        <f>SUMIFS(NhatKy!$D$5:$D$104,NhatKy!$C$5:$C$104,$D33)</f>
        <v>0</v>
      </c>
      <c r="G33" s="40">
        <f>SUMIFS(NhatKy!$F$5:$F$104,NhatKy!$C$5:$C$104,$D33)</f>
        <v>0</v>
      </c>
    </row>
    <row r="34" spans="1:7">
      <c r="A34" s="29" t="s">
        <v>63</v>
      </c>
      <c r="B34" s="34">
        <f>MAX(NhatKy!$J$5:$J$104)</f>
        <v>0</v>
      </c>
      <c r="D34" s="40">
        <v>9</v>
      </c>
      <c r="E34" s="42">
        <f>SUMIFS(NhatKy!$E$5:$E$104,NhatKy!$C$5:$C$104,$D34)</f>
        <v>21</v>
      </c>
      <c r="F34" s="42">
        <f>SUMIFS(NhatKy!$D$5:$D$104,NhatKy!$C$5:$C$104,$D34)</f>
        <v>0</v>
      </c>
      <c r="G34" s="40">
        <f>SUMIFS(NhatKy!$F$5:$F$104,NhatKy!$C$5:$C$104,$D34)</f>
        <v>0</v>
      </c>
    </row>
    <row r="35" spans="1:7">
      <c r="D35" s="40">
        <v>10</v>
      </c>
      <c r="E35" s="42">
        <f>SUMIFS(NhatKy!$E$5:$E$104,NhatKy!$C$5:$C$104,$D35)</f>
        <v>21</v>
      </c>
      <c r="F35" s="42">
        <f>SUMIFS(NhatKy!$D$5:$D$104,NhatKy!$C$5:$C$104,$D35)</f>
        <v>0</v>
      </c>
      <c r="G35" s="40">
        <f>SUMIFS(NhatKy!$F$5:$F$104,NhatKy!$C$5:$C$104,$D35)</f>
        <v>0</v>
      </c>
    </row>
    <row r="36" spans="1:7">
      <c r="A36" s="2" t="s">
        <v>64</v>
      </c>
      <c r="B36" s="2"/>
      <c r="D36" s="40">
        <v>11</v>
      </c>
      <c r="E36" s="42">
        <f>SUMIFS(NhatKy!$E$5:$E$104,NhatKy!$C$5:$C$104,$D36)</f>
        <v>21</v>
      </c>
      <c r="F36" s="42">
        <f>SUMIFS(NhatKy!$D$5:$D$104,NhatKy!$C$5:$C$104,$D36)</f>
        <v>0</v>
      </c>
      <c r="G36" s="40">
        <f>SUMIFS(NhatKy!$F$5:$F$104,NhatKy!$C$5:$C$104,$D36)</f>
        <v>0</v>
      </c>
    </row>
    <row r="37" spans="1:7">
      <c r="A37" s="29" t="s">
        <v>65</v>
      </c>
      <c r="B37" s="34">
        <f>COUNTA(Slide!$C$5:$C$60)</f>
        <v>24</v>
      </c>
      <c r="D37" s="40">
        <v>12</v>
      </c>
      <c r="E37" s="42">
        <f>SUMIFS(NhatKy!$E$5:$E$104,NhatKy!$C$5:$C$104,$D37)</f>
        <v>21</v>
      </c>
      <c r="F37" s="42">
        <f>SUMIFS(NhatKy!$D$5:$D$104,NhatKy!$C$5:$C$104,$D37)</f>
        <v>0</v>
      </c>
      <c r="G37" s="40">
        <f>SUMIFS(NhatKy!$F$5:$F$104,NhatKy!$C$5:$C$104,$D37)</f>
        <v>0</v>
      </c>
    </row>
    <row r="38" spans="1:7">
      <c r="A38" s="29" t="s">
        <v>66</v>
      </c>
      <c r="B38" s="34">
        <f>COUNTIFS(Slide!$H$5:$H$60,"✓",Slide!$I$5:$I$60,"✓",Slide!$J$5:$J$60,"✓",Slide!$K$5:$K$60,"✓")</f>
        <v>0</v>
      </c>
      <c r="D38" s="40">
        <v>13</v>
      </c>
      <c r="E38" s="42">
        <f>SUMIFS(NhatKy!$E$5:$E$104,NhatKy!$C$5:$C$104,$D38)</f>
        <v>21</v>
      </c>
      <c r="F38" s="42">
        <f>SUMIFS(NhatKy!$D$5:$D$104,NhatKy!$C$5:$C$104,$D38)</f>
        <v>0</v>
      </c>
      <c r="G38" s="40">
        <f>SUMIFS(NhatKy!$F$5:$F$104,NhatKy!$C$5:$C$104,$D38)</f>
        <v>0</v>
      </c>
    </row>
    <row r="39" spans="1:7">
      <c r="A39" s="29" t="s">
        <v>67</v>
      </c>
      <c r="B39" s="36">
        <f>IF(B37=0,0,B38/B37)</f>
        <v>0</v>
      </c>
      <c r="D39" s="40">
        <v>14</v>
      </c>
      <c r="E39" s="42">
        <f>SUMIFS(NhatKy!$E$5:$E$104,NhatKy!$C$5:$C$104,$D39)</f>
        <v>21</v>
      </c>
      <c r="F39" s="42">
        <f>SUMIFS(NhatKy!$D$5:$D$104,NhatKy!$C$5:$C$104,$D39)</f>
        <v>0</v>
      </c>
      <c r="G39" s="40">
        <f>SUMIFS(NhatKy!$F$5:$F$104,NhatKy!$C$5:$C$104,$D39)</f>
        <v>0</v>
      </c>
    </row>
    <row r="40" spans="1:7">
      <c r="D40" s="40">
        <v>15</v>
      </c>
      <c r="E40" s="42">
        <f>SUMIFS(NhatKy!$E$5:$E$104,NhatKy!$C$5:$C$104,$D40)</f>
        <v>8</v>
      </c>
      <c r="F40" s="42">
        <f>SUMIFS(NhatKy!$D$5:$D$104,NhatKy!$C$5:$C$104,$D40)</f>
        <v>0</v>
      </c>
      <c r="G40" s="40">
        <f>SUMIFS(NhatKy!$F$5:$F$104,NhatKy!$C$5:$C$104,$D40)</f>
        <v>0</v>
      </c>
    </row>
  </sheetData>
  <mergeCells count="5">
    <mergeCell ref="D3:J3"/>
    <mergeCell ref="D18:G18"/>
    <mergeCell ref="D24:G24"/>
    <mergeCell ref="A1:J1"/>
    <mergeCell ref="A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"/>
  <sheetViews>
    <sheetView workbookViewId="0"/>
  </sheetViews>
  <sheetFormatPr defaultRowHeight="14.25"/>
  <cols>
    <col min="1" max="1" width="6" customWidth="1"/>
    <col min="2" max="2" width="12" customWidth="1"/>
    <col min="3" max="3" width="20" customWidth="1"/>
    <col min="4" max="4" width="30" customWidth="1"/>
    <col min="5" max="5" width="50" customWidth="1"/>
    <col min="6" max="6" width="22" customWidth="1"/>
    <col min="7" max="8" width="28" customWidth="1"/>
    <col min="9" max="9" width="22" customWidth="1"/>
    <col min="10" max="10" width="32" customWidth="1"/>
    <col min="11" max="12" width="8" customWidth="1"/>
    <col min="13" max="13" width="9" customWidth="1"/>
    <col min="14" max="15" width="8" customWidth="1"/>
    <col min="16" max="16" width="14" customWidth="1"/>
    <col min="17" max="17" width="8" customWidth="1"/>
    <col min="18" max="18" width="9" customWidth="1"/>
    <col min="19" max="19" width="26" customWidth="1"/>
  </cols>
  <sheetData>
    <row r="1" spans="1:19" ht="18">
      <c r="A1" s="47" t="s">
        <v>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>
      <c r="A2" s="48" t="s">
        <v>69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4" spans="1:19" ht="25.5">
      <c r="A4" s="3" t="s">
        <v>70</v>
      </c>
      <c r="B4" s="3" t="s">
        <v>71</v>
      </c>
      <c r="C4" s="3" t="s">
        <v>5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53</v>
      </c>
      <c r="R4" s="3" t="s">
        <v>54</v>
      </c>
      <c r="S4" s="3" t="s">
        <v>85</v>
      </c>
    </row>
    <row r="5" spans="1:19" ht="25.5">
      <c r="A5" s="12">
        <v>1</v>
      </c>
      <c r="B5" s="13">
        <f>Dashboard!$B$4+A5-1</f>
        <v>46300</v>
      </c>
      <c r="C5" s="14" t="s">
        <v>13</v>
      </c>
      <c r="D5" s="5" t="s">
        <v>86</v>
      </c>
      <c r="E5" s="5" t="s">
        <v>87</v>
      </c>
      <c r="F5" s="5" t="s">
        <v>88</v>
      </c>
      <c r="G5" s="5" t="s">
        <v>89</v>
      </c>
      <c r="H5" s="5" t="s">
        <v>90</v>
      </c>
      <c r="I5" s="5" t="s">
        <v>91</v>
      </c>
      <c r="J5" s="5" t="s">
        <v>92</v>
      </c>
      <c r="K5" s="12">
        <f>COUNTIF(LeetCode!$A$5:$A$400,A5)</f>
        <v>3</v>
      </c>
      <c r="L5" s="12">
        <f>COUNTIFS(LeetCode!$A$5:$A$400,A5,LeetCode!$H$5:$H$400,"Xong")</f>
        <v>1</v>
      </c>
      <c r="M5" s="7"/>
      <c r="N5" s="7"/>
      <c r="O5" s="7"/>
      <c r="P5" s="12" t="str">
        <f t="shared" ref="P5:P36" ca="1" si="0">IF(AND(M5="✓",N5="✓",O5="✓",L5&gt;=K5),"Hoàn thành",IF(B5&lt;TODAY(),"Trễ hạn",IF(OR(M5="✓",N5="✓",O5="✓",L5&gt;0),"Đang học","Chưa bắt đầu")))</f>
        <v>Đang học</v>
      </c>
      <c r="Q5" s="11">
        <v>3</v>
      </c>
      <c r="R5" s="10" t="str">
        <f>IF(NhatKy!D5="","",NhatKy!D5)</f>
        <v/>
      </c>
      <c r="S5" s="8"/>
    </row>
    <row r="6" spans="1:19" ht="25.5">
      <c r="A6" s="12">
        <v>2</v>
      </c>
      <c r="B6" s="13">
        <f>Dashboard!$B$4+A6-1</f>
        <v>46301</v>
      </c>
      <c r="C6" s="14" t="s">
        <v>13</v>
      </c>
      <c r="D6" s="5" t="s">
        <v>93</v>
      </c>
      <c r="E6" s="5" t="s">
        <v>94</v>
      </c>
      <c r="F6" s="5" t="s">
        <v>95</v>
      </c>
      <c r="G6" s="5" t="s">
        <v>96</v>
      </c>
      <c r="H6" s="5" t="s">
        <v>97</v>
      </c>
      <c r="I6" s="5" t="s">
        <v>98</v>
      </c>
      <c r="J6" s="5"/>
      <c r="K6" s="12">
        <f>COUNTIF(LeetCode!$A$5:$A$400,A6)</f>
        <v>4</v>
      </c>
      <c r="L6" s="12">
        <f>COUNTIFS(LeetCode!$A$5:$A$400,A6,LeetCode!$H$5:$H$400,"Xong")</f>
        <v>0</v>
      </c>
      <c r="M6" s="7"/>
      <c r="N6" s="7"/>
      <c r="O6" s="7"/>
      <c r="P6" s="12" t="str">
        <f t="shared" ca="1" si="0"/>
        <v>Chưa bắt đầu</v>
      </c>
      <c r="Q6" s="11">
        <v>3</v>
      </c>
      <c r="R6" s="10" t="str">
        <f>IF(NhatKy!D6="","",NhatKy!D6)</f>
        <v/>
      </c>
      <c r="S6" s="8"/>
    </row>
    <row r="7" spans="1:19">
      <c r="A7" s="12">
        <v>3</v>
      </c>
      <c r="B7" s="13">
        <f>Dashboard!$B$4+A7-1</f>
        <v>46302</v>
      </c>
      <c r="C7" s="14" t="s">
        <v>13</v>
      </c>
      <c r="D7" s="5" t="s">
        <v>99</v>
      </c>
      <c r="E7" s="5" t="s">
        <v>100</v>
      </c>
      <c r="F7" s="5" t="s">
        <v>95</v>
      </c>
      <c r="G7" s="5" t="s">
        <v>101</v>
      </c>
      <c r="H7" s="5" t="s">
        <v>102</v>
      </c>
      <c r="I7" s="5" t="s">
        <v>103</v>
      </c>
      <c r="J7" s="5"/>
      <c r="K7" s="12">
        <f>COUNTIF(LeetCode!$A$5:$A$400,A7)</f>
        <v>4</v>
      </c>
      <c r="L7" s="12">
        <f>COUNTIFS(LeetCode!$A$5:$A$400,A7,LeetCode!$H$5:$H$400,"Xong")</f>
        <v>0</v>
      </c>
      <c r="M7" s="7"/>
      <c r="N7" s="7"/>
      <c r="O7" s="7"/>
      <c r="P7" s="12" t="str">
        <f t="shared" ca="1" si="0"/>
        <v>Chưa bắt đầu</v>
      </c>
      <c r="Q7" s="11">
        <v>3</v>
      </c>
      <c r="R7" s="10" t="str">
        <f>IF(NhatKy!D7="","",NhatKy!D7)</f>
        <v/>
      </c>
      <c r="S7" s="8"/>
    </row>
    <row r="8" spans="1:19" ht="25.5">
      <c r="A8" s="12">
        <v>4</v>
      </c>
      <c r="B8" s="13">
        <f>Dashboard!$B$4+A8-1</f>
        <v>46303</v>
      </c>
      <c r="C8" s="14" t="s">
        <v>13</v>
      </c>
      <c r="D8" s="5" t="s">
        <v>104</v>
      </c>
      <c r="E8" s="5" t="s">
        <v>105</v>
      </c>
      <c r="F8" s="5" t="s">
        <v>95</v>
      </c>
      <c r="G8" s="5" t="s">
        <v>106</v>
      </c>
      <c r="H8" s="5" t="s">
        <v>107</v>
      </c>
      <c r="I8" s="5" t="s">
        <v>108</v>
      </c>
      <c r="J8" s="5"/>
      <c r="K8" s="12">
        <f>COUNTIF(LeetCode!$A$5:$A$400,A8)</f>
        <v>4</v>
      </c>
      <c r="L8" s="12">
        <f>COUNTIFS(LeetCode!$A$5:$A$400,A8,LeetCode!$H$5:$H$400,"Xong")</f>
        <v>0</v>
      </c>
      <c r="M8" s="7"/>
      <c r="N8" s="7"/>
      <c r="O8" s="7"/>
      <c r="P8" s="12" t="str">
        <f t="shared" ca="1" si="0"/>
        <v>Chưa bắt đầu</v>
      </c>
      <c r="Q8" s="11">
        <v>3</v>
      </c>
      <c r="R8" s="10" t="str">
        <f>IF(NhatKy!D8="","",NhatKy!D8)</f>
        <v/>
      </c>
      <c r="S8" s="8"/>
    </row>
    <row r="9" spans="1:19" ht="25.5">
      <c r="A9" s="12">
        <v>5</v>
      </c>
      <c r="B9" s="13">
        <f>Dashboard!$B$4+A9-1</f>
        <v>46304</v>
      </c>
      <c r="C9" s="14" t="s">
        <v>13</v>
      </c>
      <c r="D9" s="5" t="s">
        <v>109</v>
      </c>
      <c r="E9" s="5" t="s">
        <v>110</v>
      </c>
      <c r="F9" s="5" t="s">
        <v>95</v>
      </c>
      <c r="G9" s="5" t="s">
        <v>111</v>
      </c>
      <c r="H9" s="5" t="s">
        <v>112</v>
      </c>
      <c r="I9" s="5" t="s">
        <v>113</v>
      </c>
      <c r="J9" s="5"/>
      <c r="K9" s="12">
        <f>COUNTIF(LeetCode!$A$5:$A$400,A9)</f>
        <v>4</v>
      </c>
      <c r="L9" s="12">
        <f>COUNTIFS(LeetCode!$A$5:$A$400,A9,LeetCode!$H$5:$H$400,"Xong")</f>
        <v>0</v>
      </c>
      <c r="M9" s="7"/>
      <c r="N9" s="7"/>
      <c r="O9" s="7"/>
      <c r="P9" s="12" t="str">
        <f t="shared" ca="1" si="0"/>
        <v>Chưa bắt đầu</v>
      </c>
      <c r="Q9" s="11">
        <v>3</v>
      </c>
      <c r="R9" s="10" t="str">
        <f>IF(NhatKy!D9="","",NhatKy!D9)</f>
        <v/>
      </c>
      <c r="S9" s="8"/>
    </row>
    <row r="10" spans="1:19">
      <c r="A10" s="12">
        <v>6</v>
      </c>
      <c r="B10" s="13">
        <f>Dashboard!$B$4+A10-1</f>
        <v>46305</v>
      </c>
      <c r="C10" s="14" t="s">
        <v>13</v>
      </c>
      <c r="D10" s="5" t="s">
        <v>114</v>
      </c>
      <c r="E10" s="5" t="s">
        <v>115</v>
      </c>
      <c r="F10" s="5" t="s">
        <v>95</v>
      </c>
      <c r="G10" s="5" t="s">
        <v>116</v>
      </c>
      <c r="H10" s="5" t="s">
        <v>117</v>
      </c>
      <c r="I10" s="5" t="s">
        <v>118</v>
      </c>
      <c r="J10" s="5"/>
      <c r="K10" s="12">
        <f>COUNTIF(LeetCode!$A$5:$A$400,A10)</f>
        <v>4</v>
      </c>
      <c r="L10" s="12">
        <f>COUNTIFS(LeetCode!$A$5:$A$400,A10,LeetCode!$H$5:$H$400,"Xong")</f>
        <v>0</v>
      </c>
      <c r="M10" s="7"/>
      <c r="N10" s="7"/>
      <c r="O10" s="7"/>
      <c r="P10" s="12" t="str">
        <f t="shared" ca="1" si="0"/>
        <v>Chưa bắt đầu</v>
      </c>
      <c r="Q10" s="11">
        <v>3</v>
      </c>
      <c r="R10" s="10" t="str">
        <f>IF(NhatKy!D10="","",NhatKy!D10)</f>
        <v/>
      </c>
      <c r="S10" s="8"/>
    </row>
    <row r="11" spans="1:19" ht="25.5">
      <c r="A11" s="12">
        <v>7</v>
      </c>
      <c r="B11" s="13">
        <f>Dashboard!$B$4+A11-1</f>
        <v>46306</v>
      </c>
      <c r="C11" s="14" t="s">
        <v>13</v>
      </c>
      <c r="D11" s="5" t="s">
        <v>119</v>
      </c>
      <c r="E11" s="5" t="s">
        <v>120</v>
      </c>
      <c r="F11" s="5" t="s">
        <v>95</v>
      </c>
      <c r="G11" s="5" t="s">
        <v>121</v>
      </c>
      <c r="H11" s="5" t="s">
        <v>122</v>
      </c>
      <c r="I11" s="5" t="s">
        <v>123</v>
      </c>
      <c r="J11" s="5" t="s">
        <v>124</v>
      </c>
      <c r="K11" s="12">
        <f>COUNTIF(LeetCode!$A$5:$A$400,A11)</f>
        <v>3</v>
      </c>
      <c r="L11" s="12">
        <f>COUNTIFS(LeetCode!$A$5:$A$400,A11,LeetCode!$H$5:$H$400,"Xong")</f>
        <v>0</v>
      </c>
      <c r="M11" s="7"/>
      <c r="N11" s="7"/>
      <c r="O11" s="7"/>
      <c r="P11" s="12" t="str">
        <f t="shared" ca="1" si="0"/>
        <v>Chưa bắt đầu</v>
      </c>
      <c r="Q11" s="11">
        <v>3</v>
      </c>
      <c r="R11" s="10" t="str">
        <f>IF(NhatKy!D11="","",NhatKy!D11)</f>
        <v/>
      </c>
      <c r="S11" s="8"/>
    </row>
    <row r="12" spans="1:19">
      <c r="A12" s="12">
        <v>8</v>
      </c>
      <c r="B12" s="13">
        <f>Dashboard!$B$4+A12-1</f>
        <v>46307</v>
      </c>
      <c r="C12" s="14" t="s">
        <v>13</v>
      </c>
      <c r="D12" s="5" t="s">
        <v>125</v>
      </c>
      <c r="E12" s="5" t="s">
        <v>126</v>
      </c>
      <c r="F12" s="5" t="s">
        <v>95</v>
      </c>
      <c r="G12" s="5" t="s">
        <v>127</v>
      </c>
      <c r="H12" s="5" t="s">
        <v>128</v>
      </c>
      <c r="I12" s="5" t="s">
        <v>129</v>
      </c>
      <c r="J12" s="5"/>
      <c r="K12" s="12">
        <f>COUNTIF(LeetCode!$A$5:$A$400,A12)</f>
        <v>3</v>
      </c>
      <c r="L12" s="12">
        <f>COUNTIFS(LeetCode!$A$5:$A$400,A12,LeetCode!$H$5:$H$400,"Xong")</f>
        <v>0</v>
      </c>
      <c r="M12" s="7"/>
      <c r="N12" s="7"/>
      <c r="O12" s="7"/>
      <c r="P12" s="12" t="str">
        <f t="shared" ca="1" si="0"/>
        <v>Chưa bắt đầu</v>
      </c>
      <c r="Q12" s="11">
        <v>3</v>
      </c>
      <c r="R12" s="10" t="str">
        <f>IF(NhatKy!D12="","",NhatKy!D12)</f>
        <v/>
      </c>
      <c r="S12" s="8"/>
    </row>
    <row r="13" spans="1:19">
      <c r="A13" s="12">
        <v>9</v>
      </c>
      <c r="B13" s="13">
        <f>Dashboard!$B$4+A13-1</f>
        <v>46308</v>
      </c>
      <c r="C13" s="14" t="s">
        <v>13</v>
      </c>
      <c r="D13" s="5" t="s">
        <v>130</v>
      </c>
      <c r="E13" s="5" t="s">
        <v>131</v>
      </c>
      <c r="F13" s="5" t="s">
        <v>95</v>
      </c>
      <c r="G13" s="5" t="s">
        <v>132</v>
      </c>
      <c r="H13" s="5" t="s">
        <v>133</v>
      </c>
      <c r="I13" s="5" t="s">
        <v>134</v>
      </c>
      <c r="J13" s="5"/>
      <c r="K13" s="12">
        <f>COUNTIF(LeetCode!$A$5:$A$400,A13)</f>
        <v>4</v>
      </c>
      <c r="L13" s="12">
        <f>COUNTIFS(LeetCode!$A$5:$A$400,A13,LeetCode!$H$5:$H$400,"Xong")</f>
        <v>0</v>
      </c>
      <c r="M13" s="7"/>
      <c r="N13" s="7"/>
      <c r="O13" s="7"/>
      <c r="P13" s="12" t="str">
        <f t="shared" ca="1" si="0"/>
        <v>Chưa bắt đầu</v>
      </c>
      <c r="Q13" s="11">
        <v>3</v>
      </c>
      <c r="R13" s="10" t="str">
        <f>IF(NhatKy!D13="","",NhatKy!D13)</f>
        <v/>
      </c>
      <c r="S13" s="8"/>
    </row>
    <row r="14" spans="1:19" ht="25.5">
      <c r="A14" s="12">
        <v>10</v>
      </c>
      <c r="B14" s="13">
        <f>Dashboard!$B$4+A14-1</f>
        <v>46309</v>
      </c>
      <c r="C14" s="14" t="s">
        <v>13</v>
      </c>
      <c r="D14" s="5" t="s">
        <v>135</v>
      </c>
      <c r="E14" s="5" t="s">
        <v>136</v>
      </c>
      <c r="F14" s="5" t="s">
        <v>95</v>
      </c>
      <c r="G14" s="5" t="s">
        <v>137</v>
      </c>
      <c r="H14" s="5" t="s">
        <v>138</v>
      </c>
      <c r="I14" s="5" t="s">
        <v>139</v>
      </c>
      <c r="J14" s="5"/>
      <c r="K14" s="12">
        <f>COUNTIF(LeetCode!$A$5:$A$400,A14)</f>
        <v>4</v>
      </c>
      <c r="L14" s="12">
        <f>COUNTIFS(LeetCode!$A$5:$A$400,A14,LeetCode!$H$5:$H$400,"Xong")</f>
        <v>0</v>
      </c>
      <c r="M14" s="7"/>
      <c r="N14" s="7"/>
      <c r="O14" s="7"/>
      <c r="P14" s="12" t="str">
        <f t="shared" ca="1" si="0"/>
        <v>Chưa bắt đầu</v>
      </c>
      <c r="Q14" s="11">
        <v>3</v>
      </c>
      <c r="R14" s="10" t="str">
        <f>IF(NhatKy!D14="","",NhatKy!D14)</f>
        <v/>
      </c>
      <c r="S14" s="8"/>
    </row>
    <row r="15" spans="1:19" ht="25.5">
      <c r="A15" s="12">
        <v>11</v>
      </c>
      <c r="B15" s="13">
        <f>Dashboard!$B$4+A15-1</f>
        <v>46310</v>
      </c>
      <c r="C15" s="15" t="s">
        <v>15</v>
      </c>
      <c r="D15" s="5" t="s">
        <v>140</v>
      </c>
      <c r="E15" s="5" t="s">
        <v>141</v>
      </c>
      <c r="F15" s="5" t="s">
        <v>142</v>
      </c>
      <c r="G15" s="5" t="s">
        <v>143</v>
      </c>
      <c r="H15" s="5" t="s">
        <v>144</v>
      </c>
      <c r="I15" s="5" t="s">
        <v>145</v>
      </c>
      <c r="J15" s="5"/>
      <c r="K15" s="12">
        <f>COUNTIF(LeetCode!$A$5:$A$400,A15)</f>
        <v>4</v>
      </c>
      <c r="L15" s="12">
        <f>COUNTIFS(LeetCode!$A$5:$A$400,A15,LeetCode!$H$5:$H$400,"Xong")</f>
        <v>0</v>
      </c>
      <c r="M15" s="7"/>
      <c r="N15" s="7"/>
      <c r="O15" s="7"/>
      <c r="P15" s="12" t="str">
        <f t="shared" ca="1" si="0"/>
        <v>Chưa bắt đầu</v>
      </c>
      <c r="Q15" s="11">
        <v>3</v>
      </c>
      <c r="R15" s="10" t="str">
        <f>IF(NhatKy!D15="","",NhatKy!D15)</f>
        <v/>
      </c>
      <c r="S15" s="8"/>
    </row>
    <row r="16" spans="1:19" ht="25.5">
      <c r="A16" s="12">
        <v>12</v>
      </c>
      <c r="B16" s="13">
        <f>Dashboard!$B$4+A16-1</f>
        <v>46311</v>
      </c>
      <c r="C16" s="15" t="s">
        <v>15</v>
      </c>
      <c r="D16" s="5" t="s">
        <v>146</v>
      </c>
      <c r="E16" s="5" t="s">
        <v>147</v>
      </c>
      <c r="F16" s="5" t="s">
        <v>142</v>
      </c>
      <c r="G16" s="5" t="s">
        <v>148</v>
      </c>
      <c r="H16" s="5" t="s">
        <v>149</v>
      </c>
      <c r="I16" s="5" t="s">
        <v>150</v>
      </c>
      <c r="J16" s="5"/>
      <c r="K16" s="12">
        <f>COUNTIF(LeetCode!$A$5:$A$400,A16)</f>
        <v>4</v>
      </c>
      <c r="L16" s="12">
        <f>COUNTIFS(LeetCode!$A$5:$A$400,A16,LeetCode!$H$5:$H$400,"Xong")</f>
        <v>0</v>
      </c>
      <c r="M16" s="7"/>
      <c r="N16" s="7"/>
      <c r="O16" s="7"/>
      <c r="P16" s="12" t="str">
        <f t="shared" ca="1" si="0"/>
        <v>Chưa bắt đầu</v>
      </c>
      <c r="Q16" s="11">
        <v>3</v>
      </c>
      <c r="R16" s="10" t="str">
        <f>IF(NhatKy!D16="","",NhatKy!D16)</f>
        <v/>
      </c>
      <c r="S16" s="8"/>
    </row>
    <row r="17" spans="1:19" ht="25.5">
      <c r="A17" s="12">
        <v>13</v>
      </c>
      <c r="B17" s="13">
        <f>Dashboard!$B$4+A17-1</f>
        <v>46312</v>
      </c>
      <c r="C17" s="15" t="s">
        <v>15</v>
      </c>
      <c r="D17" s="5" t="s">
        <v>151</v>
      </c>
      <c r="E17" s="5" t="s">
        <v>152</v>
      </c>
      <c r="F17" s="5" t="s">
        <v>142</v>
      </c>
      <c r="G17" s="5" t="s">
        <v>153</v>
      </c>
      <c r="H17" s="5" t="s">
        <v>154</v>
      </c>
      <c r="I17" s="5" t="s">
        <v>155</v>
      </c>
      <c r="J17" s="5"/>
      <c r="K17" s="12">
        <f>COUNTIF(LeetCode!$A$5:$A$400,A17)</f>
        <v>4</v>
      </c>
      <c r="L17" s="12">
        <f>COUNTIFS(LeetCode!$A$5:$A$400,A17,LeetCode!$H$5:$H$400,"Xong")</f>
        <v>0</v>
      </c>
      <c r="M17" s="7"/>
      <c r="N17" s="7"/>
      <c r="O17" s="7"/>
      <c r="P17" s="12" t="str">
        <f t="shared" ca="1" si="0"/>
        <v>Chưa bắt đầu</v>
      </c>
      <c r="Q17" s="11">
        <v>3</v>
      </c>
      <c r="R17" s="10" t="str">
        <f>IF(NhatKy!D17="","",NhatKy!D17)</f>
        <v/>
      </c>
      <c r="S17" s="8"/>
    </row>
    <row r="18" spans="1:19" ht="25.5">
      <c r="A18" s="12">
        <v>14</v>
      </c>
      <c r="B18" s="13">
        <f>Dashboard!$B$4+A18-1</f>
        <v>46313</v>
      </c>
      <c r="C18" s="15" t="s">
        <v>15</v>
      </c>
      <c r="D18" s="5" t="s">
        <v>156</v>
      </c>
      <c r="E18" s="5" t="s">
        <v>157</v>
      </c>
      <c r="F18" s="5" t="s">
        <v>142</v>
      </c>
      <c r="G18" s="5" t="s">
        <v>158</v>
      </c>
      <c r="H18" s="5" t="s">
        <v>159</v>
      </c>
      <c r="I18" s="5" t="s">
        <v>160</v>
      </c>
      <c r="J18" s="5"/>
      <c r="K18" s="12">
        <f>COUNTIF(LeetCode!$A$5:$A$400,A18)</f>
        <v>4</v>
      </c>
      <c r="L18" s="12">
        <f>COUNTIFS(LeetCode!$A$5:$A$400,A18,LeetCode!$H$5:$H$400,"Xong")</f>
        <v>0</v>
      </c>
      <c r="M18" s="7"/>
      <c r="N18" s="7"/>
      <c r="O18" s="7"/>
      <c r="P18" s="12" t="str">
        <f t="shared" ca="1" si="0"/>
        <v>Chưa bắt đầu</v>
      </c>
      <c r="Q18" s="11">
        <v>3</v>
      </c>
      <c r="R18" s="10" t="str">
        <f>IF(NhatKy!D18="","",NhatKy!D18)</f>
        <v/>
      </c>
      <c r="S18" s="8"/>
    </row>
    <row r="19" spans="1:19" ht="25.5">
      <c r="A19" s="12">
        <v>15</v>
      </c>
      <c r="B19" s="13">
        <f>Dashboard!$B$4+A19-1</f>
        <v>46314</v>
      </c>
      <c r="C19" s="15" t="s">
        <v>15</v>
      </c>
      <c r="D19" s="5" t="s">
        <v>161</v>
      </c>
      <c r="E19" s="5" t="s">
        <v>162</v>
      </c>
      <c r="F19" s="5" t="s">
        <v>142</v>
      </c>
      <c r="G19" s="5" t="s">
        <v>163</v>
      </c>
      <c r="H19" s="5" t="s">
        <v>164</v>
      </c>
      <c r="I19" s="5" t="s">
        <v>165</v>
      </c>
      <c r="J19" s="5"/>
      <c r="K19" s="12">
        <f>COUNTIF(LeetCode!$A$5:$A$400,A19)</f>
        <v>4</v>
      </c>
      <c r="L19" s="12">
        <f>COUNTIFS(LeetCode!$A$5:$A$400,A19,LeetCode!$H$5:$H$400,"Xong")</f>
        <v>0</v>
      </c>
      <c r="M19" s="7"/>
      <c r="N19" s="7"/>
      <c r="O19" s="7"/>
      <c r="P19" s="12" t="str">
        <f t="shared" ca="1" si="0"/>
        <v>Chưa bắt đầu</v>
      </c>
      <c r="Q19" s="11">
        <v>3</v>
      </c>
      <c r="R19" s="10" t="str">
        <f>IF(NhatKy!D19="","",NhatKy!D19)</f>
        <v/>
      </c>
      <c r="S19" s="8"/>
    </row>
    <row r="20" spans="1:19" ht="25.5">
      <c r="A20" s="12">
        <v>16</v>
      </c>
      <c r="B20" s="13">
        <f>Dashboard!$B$4+A20-1</f>
        <v>46315</v>
      </c>
      <c r="C20" s="15" t="s">
        <v>15</v>
      </c>
      <c r="D20" s="5" t="s">
        <v>166</v>
      </c>
      <c r="E20" s="5" t="s">
        <v>167</v>
      </c>
      <c r="F20" s="5" t="s">
        <v>142</v>
      </c>
      <c r="G20" s="5" t="s">
        <v>168</v>
      </c>
      <c r="H20" s="5" t="s">
        <v>169</v>
      </c>
      <c r="I20" s="5" t="s">
        <v>170</v>
      </c>
      <c r="J20" s="5"/>
      <c r="K20" s="12">
        <f>COUNTIF(LeetCode!$A$5:$A$400,A20)</f>
        <v>4</v>
      </c>
      <c r="L20" s="12">
        <f>COUNTIFS(LeetCode!$A$5:$A$400,A20,LeetCode!$H$5:$H$400,"Xong")</f>
        <v>0</v>
      </c>
      <c r="M20" s="7"/>
      <c r="N20" s="7"/>
      <c r="O20" s="7"/>
      <c r="P20" s="12" t="str">
        <f t="shared" ca="1" si="0"/>
        <v>Chưa bắt đầu</v>
      </c>
      <c r="Q20" s="11">
        <v>3</v>
      </c>
      <c r="R20" s="10" t="str">
        <f>IF(NhatKy!D20="","",NhatKy!D20)</f>
        <v/>
      </c>
      <c r="S20" s="8"/>
    </row>
    <row r="21" spans="1:19" ht="25.5">
      <c r="A21" s="12">
        <v>17</v>
      </c>
      <c r="B21" s="13">
        <f>Dashboard!$B$4+A21-1</f>
        <v>46316</v>
      </c>
      <c r="C21" s="15" t="s">
        <v>15</v>
      </c>
      <c r="D21" s="5" t="s">
        <v>171</v>
      </c>
      <c r="E21" s="5" t="s">
        <v>172</v>
      </c>
      <c r="F21" s="5" t="s">
        <v>142</v>
      </c>
      <c r="G21" s="5" t="s">
        <v>173</v>
      </c>
      <c r="H21" s="5" t="s">
        <v>174</v>
      </c>
      <c r="I21" s="5" t="s">
        <v>175</v>
      </c>
      <c r="J21" s="5"/>
      <c r="K21" s="12">
        <f>COUNTIF(LeetCode!$A$5:$A$400,A21)</f>
        <v>4</v>
      </c>
      <c r="L21" s="12">
        <f>COUNTIFS(LeetCode!$A$5:$A$400,A21,LeetCode!$H$5:$H$400,"Xong")</f>
        <v>0</v>
      </c>
      <c r="M21" s="7"/>
      <c r="N21" s="7"/>
      <c r="O21" s="7"/>
      <c r="P21" s="12" t="str">
        <f t="shared" ca="1" si="0"/>
        <v>Chưa bắt đầu</v>
      </c>
      <c r="Q21" s="11">
        <v>3</v>
      </c>
      <c r="R21" s="10" t="str">
        <f>IF(NhatKy!D21="","",NhatKy!D21)</f>
        <v/>
      </c>
      <c r="S21" s="8"/>
    </row>
    <row r="22" spans="1:19" ht="25.5">
      <c r="A22" s="12">
        <v>18</v>
      </c>
      <c r="B22" s="13">
        <f>Dashboard!$B$4+A22-1</f>
        <v>46317</v>
      </c>
      <c r="C22" s="15" t="s">
        <v>15</v>
      </c>
      <c r="D22" s="5" t="s">
        <v>176</v>
      </c>
      <c r="E22" s="5" t="s">
        <v>177</v>
      </c>
      <c r="F22" s="5" t="s">
        <v>142</v>
      </c>
      <c r="G22" s="5" t="s">
        <v>178</v>
      </c>
      <c r="H22" s="5" t="s">
        <v>179</v>
      </c>
      <c r="I22" s="5" t="s">
        <v>180</v>
      </c>
      <c r="J22" s="5"/>
      <c r="K22" s="12">
        <f>COUNTIF(LeetCode!$A$5:$A$400,A22)</f>
        <v>4</v>
      </c>
      <c r="L22" s="12">
        <f>COUNTIFS(LeetCode!$A$5:$A$400,A22,LeetCode!$H$5:$H$400,"Xong")</f>
        <v>0</v>
      </c>
      <c r="M22" s="7"/>
      <c r="N22" s="7"/>
      <c r="O22" s="7"/>
      <c r="P22" s="12" t="str">
        <f t="shared" ca="1" si="0"/>
        <v>Chưa bắt đầu</v>
      </c>
      <c r="Q22" s="11">
        <v>3</v>
      </c>
      <c r="R22" s="10" t="str">
        <f>IF(NhatKy!D22="","",NhatKy!D22)</f>
        <v/>
      </c>
      <c r="S22" s="8"/>
    </row>
    <row r="23" spans="1:19" ht="25.5">
      <c r="A23" s="12">
        <v>19</v>
      </c>
      <c r="B23" s="13">
        <f>Dashboard!$B$4+A23-1</f>
        <v>46318</v>
      </c>
      <c r="C23" s="15" t="s">
        <v>15</v>
      </c>
      <c r="D23" s="5" t="s">
        <v>181</v>
      </c>
      <c r="E23" s="5" t="s">
        <v>182</v>
      </c>
      <c r="F23" s="5" t="s">
        <v>142</v>
      </c>
      <c r="G23" s="5" t="s">
        <v>183</v>
      </c>
      <c r="H23" s="5" t="s">
        <v>184</v>
      </c>
      <c r="I23" s="5" t="s">
        <v>185</v>
      </c>
      <c r="J23" s="5"/>
      <c r="K23" s="12">
        <f>COUNTIF(LeetCode!$A$5:$A$400,A23)</f>
        <v>4</v>
      </c>
      <c r="L23" s="12">
        <f>COUNTIFS(LeetCode!$A$5:$A$400,A23,LeetCode!$H$5:$H$400,"Xong")</f>
        <v>0</v>
      </c>
      <c r="M23" s="7"/>
      <c r="N23" s="7"/>
      <c r="O23" s="7"/>
      <c r="P23" s="12" t="str">
        <f t="shared" ca="1" si="0"/>
        <v>Chưa bắt đầu</v>
      </c>
      <c r="Q23" s="11">
        <v>3</v>
      </c>
      <c r="R23" s="10" t="str">
        <f>IF(NhatKy!D23="","",NhatKy!D23)</f>
        <v/>
      </c>
      <c r="S23" s="8"/>
    </row>
    <row r="24" spans="1:19" ht="25.5">
      <c r="A24" s="12">
        <v>20</v>
      </c>
      <c r="B24" s="13">
        <f>Dashboard!$B$4+A24-1</f>
        <v>46319</v>
      </c>
      <c r="C24" s="15" t="s">
        <v>15</v>
      </c>
      <c r="D24" s="5" t="s">
        <v>186</v>
      </c>
      <c r="E24" s="5" t="s">
        <v>187</v>
      </c>
      <c r="F24" s="5" t="s">
        <v>142</v>
      </c>
      <c r="G24" s="5" t="s">
        <v>188</v>
      </c>
      <c r="H24" s="5" t="s">
        <v>189</v>
      </c>
      <c r="I24" s="5" t="s">
        <v>190</v>
      </c>
      <c r="J24" s="5"/>
      <c r="K24" s="12">
        <f>COUNTIF(LeetCode!$A$5:$A$400,A24)</f>
        <v>4</v>
      </c>
      <c r="L24" s="12">
        <f>COUNTIFS(LeetCode!$A$5:$A$400,A24,LeetCode!$H$5:$H$400,"Xong")</f>
        <v>0</v>
      </c>
      <c r="M24" s="7"/>
      <c r="N24" s="7"/>
      <c r="O24" s="7"/>
      <c r="P24" s="12" t="str">
        <f t="shared" ca="1" si="0"/>
        <v>Chưa bắt đầu</v>
      </c>
      <c r="Q24" s="11">
        <v>3</v>
      </c>
      <c r="R24" s="10" t="str">
        <f>IF(NhatKy!D24="","",NhatKy!D24)</f>
        <v/>
      </c>
      <c r="S24" s="8"/>
    </row>
    <row r="25" spans="1:19" ht="25.5">
      <c r="A25" s="12">
        <v>21</v>
      </c>
      <c r="B25" s="13">
        <f>Dashboard!$B$4+A25-1</f>
        <v>46320</v>
      </c>
      <c r="C25" s="15" t="s">
        <v>15</v>
      </c>
      <c r="D25" s="5" t="s">
        <v>191</v>
      </c>
      <c r="E25" s="5" t="s">
        <v>192</v>
      </c>
      <c r="F25" s="5" t="s">
        <v>142</v>
      </c>
      <c r="G25" s="5" t="s">
        <v>193</v>
      </c>
      <c r="H25" s="5" t="s">
        <v>194</v>
      </c>
      <c r="I25" s="5" t="s">
        <v>195</v>
      </c>
      <c r="J25" s="5"/>
      <c r="K25" s="12">
        <f>COUNTIF(LeetCode!$A$5:$A$400,A25)</f>
        <v>3</v>
      </c>
      <c r="L25" s="12">
        <f>COUNTIFS(LeetCode!$A$5:$A$400,A25,LeetCode!$H$5:$H$400,"Xong")</f>
        <v>0</v>
      </c>
      <c r="M25" s="7"/>
      <c r="N25" s="7"/>
      <c r="O25" s="7"/>
      <c r="P25" s="12" t="str">
        <f t="shared" ca="1" si="0"/>
        <v>Chưa bắt đầu</v>
      </c>
      <c r="Q25" s="11">
        <v>3</v>
      </c>
      <c r="R25" s="10" t="str">
        <f>IF(NhatKy!D25="","",NhatKy!D25)</f>
        <v/>
      </c>
      <c r="S25" s="8"/>
    </row>
    <row r="26" spans="1:19" ht="25.5">
      <c r="A26" s="12">
        <v>22</v>
      </c>
      <c r="B26" s="13">
        <f>Dashboard!$B$4+A26-1</f>
        <v>46321</v>
      </c>
      <c r="C26" s="15" t="s">
        <v>15</v>
      </c>
      <c r="D26" s="5" t="s">
        <v>196</v>
      </c>
      <c r="E26" s="5" t="s">
        <v>197</v>
      </c>
      <c r="F26" s="5" t="s">
        <v>142</v>
      </c>
      <c r="G26" s="5" t="s">
        <v>198</v>
      </c>
      <c r="H26" s="5" t="s">
        <v>199</v>
      </c>
      <c r="I26" s="5" t="s">
        <v>200</v>
      </c>
      <c r="J26" s="5"/>
      <c r="K26" s="12">
        <f>COUNTIF(LeetCode!$A$5:$A$400,A26)</f>
        <v>4</v>
      </c>
      <c r="L26" s="12">
        <f>COUNTIFS(LeetCode!$A$5:$A$400,A26,LeetCode!$H$5:$H$400,"Xong")</f>
        <v>0</v>
      </c>
      <c r="M26" s="7"/>
      <c r="N26" s="7"/>
      <c r="O26" s="7"/>
      <c r="P26" s="12" t="str">
        <f t="shared" ca="1" si="0"/>
        <v>Chưa bắt đầu</v>
      </c>
      <c r="Q26" s="11">
        <v>3</v>
      </c>
      <c r="R26" s="10" t="str">
        <f>IF(NhatKy!D26="","",NhatKy!D26)</f>
        <v/>
      </c>
      <c r="S26" s="8"/>
    </row>
    <row r="27" spans="1:19" ht="25.5">
      <c r="A27" s="12">
        <v>23</v>
      </c>
      <c r="B27" s="13">
        <f>Dashboard!$B$4+A27-1</f>
        <v>46322</v>
      </c>
      <c r="C27" s="15" t="s">
        <v>15</v>
      </c>
      <c r="D27" s="5" t="s">
        <v>201</v>
      </c>
      <c r="E27" s="5" t="s">
        <v>202</v>
      </c>
      <c r="F27" s="5" t="s">
        <v>142</v>
      </c>
      <c r="G27" s="5" t="s">
        <v>203</v>
      </c>
      <c r="H27" s="5" t="s">
        <v>204</v>
      </c>
      <c r="I27" s="5" t="s">
        <v>205</v>
      </c>
      <c r="J27" s="5"/>
      <c r="K27" s="12">
        <f>COUNTIF(LeetCode!$A$5:$A$400,A27)</f>
        <v>4</v>
      </c>
      <c r="L27" s="12">
        <f>COUNTIFS(LeetCode!$A$5:$A$400,A27,LeetCode!$H$5:$H$400,"Xong")</f>
        <v>0</v>
      </c>
      <c r="M27" s="7"/>
      <c r="N27" s="7"/>
      <c r="O27" s="7"/>
      <c r="P27" s="12" t="str">
        <f t="shared" ca="1" si="0"/>
        <v>Chưa bắt đầu</v>
      </c>
      <c r="Q27" s="11">
        <v>3</v>
      </c>
      <c r="R27" s="10" t="str">
        <f>IF(NhatKy!D27="","",NhatKy!D27)</f>
        <v/>
      </c>
      <c r="S27" s="8"/>
    </row>
    <row r="28" spans="1:19" ht="25.5">
      <c r="A28" s="12">
        <v>24</v>
      </c>
      <c r="B28" s="13">
        <f>Dashboard!$B$4+A28-1</f>
        <v>46323</v>
      </c>
      <c r="C28" s="15" t="s">
        <v>15</v>
      </c>
      <c r="D28" s="5" t="s">
        <v>206</v>
      </c>
      <c r="E28" s="5" t="s">
        <v>207</v>
      </c>
      <c r="F28" s="5" t="s">
        <v>142</v>
      </c>
      <c r="G28" s="5" t="s">
        <v>208</v>
      </c>
      <c r="H28" s="5" t="s">
        <v>209</v>
      </c>
      <c r="I28" s="5" t="s">
        <v>210</v>
      </c>
      <c r="J28" s="5"/>
      <c r="K28" s="12">
        <f>COUNTIF(LeetCode!$A$5:$A$400,A28)</f>
        <v>4</v>
      </c>
      <c r="L28" s="12">
        <f>COUNTIFS(LeetCode!$A$5:$A$400,A28,LeetCode!$H$5:$H$400,"Xong")</f>
        <v>0</v>
      </c>
      <c r="M28" s="7"/>
      <c r="N28" s="7"/>
      <c r="O28" s="7"/>
      <c r="P28" s="12" t="str">
        <f t="shared" ca="1" si="0"/>
        <v>Chưa bắt đầu</v>
      </c>
      <c r="Q28" s="11">
        <v>3</v>
      </c>
      <c r="R28" s="10" t="str">
        <f>IF(NhatKy!D28="","",NhatKy!D28)</f>
        <v/>
      </c>
      <c r="S28" s="8"/>
    </row>
    <row r="29" spans="1:19" ht="25.5">
      <c r="A29" s="12">
        <v>25</v>
      </c>
      <c r="B29" s="13">
        <f>Dashboard!$B$4+A29-1</f>
        <v>46324</v>
      </c>
      <c r="C29" s="15" t="s">
        <v>15</v>
      </c>
      <c r="D29" s="5" t="s">
        <v>211</v>
      </c>
      <c r="E29" s="5" t="s">
        <v>212</v>
      </c>
      <c r="F29" s="5" t="s">
        <v>142</v>
      </c>
      <c r="G29" s="5" t="s">
        <v>213</v>
      </c>
      <c r="H29" s="5" t="s">
        <v>214</v>
      </c>
      <c r="I29" s="5" t="s">
        <v>215</v>
      </c>
      <c r="J29" s="5"/>
      <c r="K29" s="12">
        <f>COUNTIF(LeetCode!$A$5:$A$400,A29)</f>
        <v>4</v>
      </c>
      <c r="L29" s="12">
        <f>COUNTIFS(LeetCode!$A$5:$A$400,A29,LeetCode!$H$5:$H$400,"Xong")</f>
        <v>0</v>
      </c>
      <c r="M29" s="7"/>
      <c r="N29" s="7"/>
      <c r="O29" s="7"/>
      <c r="P29" s="12" t="str">
        <f t="shared" ca="1" si="0"/>
        <v>Chưa bắt đầu</v>
      </c>
      <c r="Q29" s="11">
        <v>3</v>
      </c>
      <c r="R29" s="10" t="str">
        <f>IF(NhatKy!D29="","",NhatKy!D29)</f>
        <v/>
      </c>
      <c r="S29" s="8"/>
    </row>
    <row r="30" spans="1:19" ht="25.5">
      <c r="A30" s="12">
        <v>26</v>
      </c>
      <c r="B30" s="13">
        <f>Dashboard!$B$4+A30-1</f>
        <v>46325</v>
      </c>
      <c r="C30" s="15" t="s">
        <v>15</v>
      </c>
      <c r="D30" s="5" t="s">
        <v>216</v>
      </c>
      <c r="E30" s="5" t="s">
        <v>217</v>
      </c>
      <c r="F30" s="5" t="s">
        <v>142</v>
      </c>
      <c r="G30" s="5" t="s">
        <v>218</v>
      </c>
      <c r="H30" s="5" t="s">
        <v>219</v>
      </c>
      <c r="I30" s="5" t="s">
        <v>220</v>
      </c>
      <c r="J30" s="5"/>
      <c r="K30" s="12">
        <f>COUNTIF(LeetCode!$A$5:$A$400,A30)</f>
        <v>3</v>
      </c>
      <c r="L30" s="12">
        <f>COUNTIFS(LeetCode!$A$5:$A$400,A30,LeetCode!$H$5:$H$400,"Xong")</f>
        <v>0</v>
      </c>
      <c r="M30" s="7"/>
      <c r="N30" s="7"/>
      <c r="O30" s="7"/>
      <c r="P30" s="12" t="str">
        <f t="shared" ca="1" si="0"/>
        <v>Chưa bắt đầu</v>
      </c>
      <c r="Q30" s="11">
        <v>3</v>
      </c>
      <c r="R30" s="10" t="str">
        <f>IF(NhatKy!D30="","",NhatKy!D30)</f>
        <v/>
      </c>
      <c r="S30" s="8"/>
    </row>
    <row r="31" spans="1:19" ht="25.5">
      <c r="A31" s="12">
        <v>27</v>
      </c>
      <c r="B31" s="13">
        <f>Dashboard!$B$4+A31-1</f>
        <v>46326</v>
      </c>
      <c r="C31" s="15" t="s">
        <v>15</v>
      </c>
      <c r="D31" s="5" t="s">
        <v>221</v>
      </c>
      <c r="E31" s="5" t="s">
        <v>222</v>
      </c>
      <c r="F31" s="5" t="s">
        <v>142</v>
      </c>
      <c r="G31" s="5" t="s">
        <v>223</v>
      </c>
      <c r="H31" s="5" t="s">
        <v>224</v>
      </c>
      <c r="I31" s="5" t="s">
        <v>225</v>
      </c>
      <c r="J31" s="5"/>
      <c r="K31" s="12">
        <f>COUNTIF(LeetCode!$A$5:$A$400,A31)</f>
        <v>4</v>
      </c>
      <c r="L31" s="12">
        <f>COUNTIFS(LeetCode!$A$5:$A$400,A31,LeetCode!$H$5:$H$400,"Xong")</f>
        <v>0</v>
      </c>
      <c r="M31" s="7"/>
      <c r="N31" s="7"/>
      <c r="O31" s="7"/>
      <c r="P31" s="12" t="str">
        <f t="shared" ca="1" si="0"/>
        <v>Chưa bắt đầu</v>
      </c>
      <c r="Q31" s="11">
        <v>3</v>
      </c>
      <c r="R31" s="10" t="str">
        <f>IF(NhatKy!D31="","",NhatKy!D31)</f>
        <v/>
      </c>
      <c r="S31" s="8"/>
    </row>
    <row r="32" spans="1:19" ht="25.5">
      <c r="A32" s="12">
        <v>28</v>
      </c>
      <c r="B32" s="13">
        <f>Dashboard!$B$4+A32-1</f>
        <v>46327</v>
      </c>
      <c r="C32" s="15" t="s">
        <v>15</v>
      </c>
      <c r="D32" s="5" t="s">
        <v>226</v>
      </c>
      <c r="E32" s="5" t="s">
        <v>227</v>
      </c>
      <c r="F32" s="5" t="s">
        <v>142</v>
      </c>
      <c r="G32" s="5" t="s">
        <v>228</v>
      </c>
      <c r="H32" s="5" t="s">
        <v>229</v>
      </c>
      <c r="I32" s="5" t="s">
        <v>230</v>
      </c>
      <c r="J32" s="5"/>
      <c r="K32" s="12">
        <f>COUNTIF(LeetCode!$A$5:$A$400,A32)</f>
        <v>3</v>
      </c>
      <c r="L32" s="12">
        <f>COUNTIFS(LeetCode!$A$5:$A$400,A32,LeetCode!$H$5:$H$400,"Xong")</f>
        <v>0</v>
      </c>
      <c r="M32" s="7"/>
      <c r="N32" s="7"/>
      <c r="O32" s="7"/>
      <c r="P32" s="12" t="str">
        <f t="shared" ca="1" si="0"/>
        <v>Chưa bắt đầu</v>
      </c>
      <c r="Q32" s="11">
        <v>3</v>
      </c>
      <c r="R32" s="10" t="str">
        <f>IF(NhatKy!D32="","",NhatKy!D32)</f>
        <v/>
      </c>
      <c r="S32" s="8"/>
    </row>
    <row r="33" spans="1:19" ht="38.25">
      <c r="A33" s="12">
        <v>29</v>
      </c>
      <c r="B33" s="13">
        <f>Dashboard!$B$4+A33-1</f>
        <v>46328</v>
      </c>
      <c r="C33" s="16" t="s">
        <v>17</v>
      </c>
      <c r="D33" s="5" t="s">
        <v>231</v>
      </c>
      <c r="E33" s="5" t="s">
        <v>232</v>
      </c>
      <c r="F33" s="5" t="s">
        <v>233</v>
      </c>
      <c r="G33" s="5" t="s">
        <v>234</v>
      </c>
      <c r="H33" s="5" t="s">
        <v>235</v>
      </c>
      <c r="I33" s="5" t="s">
        <v>236</v>
      </c>
      <c r="J33" s="5" t="s">
        <v>237</v>
      </c>
      <c r="K33" s="12">
        <f>COUNTIF(LeetCode!$A$5:$A$400,A33)</f>
        <v>4</v>
      </c>
      <c r="L33" s="12">
        <f>COUNTIFS(LeetCode!$A$5:$A$400,A33,LeetCode!$H$5:$H$400,"Xong")</f>
        <v>0</v>
      </c>
      <c r="M33" s="7"/>
      <c r="N33" s="7"/>
      <c r="O33" s="7"/>
      <c r="P33" s="12" t="str">
        <f t="shared" ca="1" si="0"/>
        <v>Chưa bắt đầu</v>
      </c>
      <c r="Q33" s="11">
        <v>3</v>
      </c>
      <c r="R33" s="10" t="str">
        <f>IF(NhatKy!D33="","",NhatKy!D33)</f>
        <v/>
      </c>
      <c r="S33" s="8"/>
    </row>
    <row r="34" spans="1:19">
      <c r="A34" s="12">
        <v>30</v>
      </c>
      <c r="B34" s="13">
        <f>Dashboard!$B$4+A34-1</f>
        <v>46329</v>
      </c>
      <c r="C34" s="16" t="s">
        <v>17</v>
      </c>
      <c r="D34" s="5" t="s">
        <v>238</v>
      </c>
      <c r="E34" s="5" t="s">
        <v>239</v>
      </c>
      <c r="F34" s="5" t="s">
        <v>233</v>
      </c>
      <c r="G34" s="5" t="s">
        <v>240</v>
      </c>
      <c r="H34" s="5" t="s">
        <v>240</v>
      </c>
      <c r="I34" s="5" t="s">
        <v>241</v>
      </c>
      <c r="J34" s="5"/>
      <c r="K34" s="12">
        <f>COUNTIF(LeetCode!$A$5:$A$400,A34)</f>
        <v>3</v>
      </c>
      <c r="L34" s="12">
        <f>COUNTIFS(LeetCode!$A$5:$A$400,A34,LeetCode!$H$5:$H$400,"Xong")</f>
        <v>0</v>
      </c>
      <c r="M34" s="7"/>
      <c r="N34" s="7"/>
      <c r="O34" s="7"/>
      <c r="P34" s="12" t="str">
        <f t="shared" ca="1" si="0"/>
        <v>Chưa bắt đầu</v>
      </c>
      <c r="Q34" s="11">
        <v>3</v>
      </c>
      <c r="R34" s="10" t="str">
        <f>IF(NhatKy!D34="","",NhatKy!D34)</f>
        <v/>
      </c>
      <c r="S34" s="8"/>
    </row>
    <row r="35" spans="1:19" ht="25.5">
      <c r="A35" s="12">
        <v>31</v>
      </c>
      <c r="B35" s="13">
        <f>Dashboard!$B$4+A35-1</f>
        <v>46330</v>
      </c>
      <c r="C35" s="16" t="s">
        <v>17</v>
      </c>
      <c r="D35" s="5" t="s">
        <v>242</v>
      </c>
      <c r="E35" s="5" t="s">
        <v>243</v>
      </c>
      <c r="F35" s="5" t="s">
        <v>244</v>
      </c>
      <c r="G35" s="5" t="s">
        <v>245</v>
      </c>
      <c r="H35" s="5" t="s">
        <v>246</v>
      </c>
      <c r="I35" s="5" t="s">
        <v>247</v>
      </c>
      <c r="J35" s="5" t="s">
        <v>248</v>
      </c>
      <c r="K35" s="12">
        <f>COUNTIF(LeetCode!$A$5:$A$400,A35)</f>
        <v>2</v>
      </c>
      <c r="L35" s="12">
        <f>COUNTIFS(LeetCode!$A$5:$A$400,A35,LeetCode!$H$5:$H$400,"Xong")</f>
        <v>0</v>
      </c>
      <c r="M35" s="7"/>
      <c r="N35" s="7"/>
      <c r="O35" s="7"/>
      <c r="P35" s="12" t="str">
        <f t="shared" ca="1" si="0"/>
        <v>Chưa bắt đầu</v>
      </c>
      <c r="Q35" s="11">
        <v>3</v>
      </c>
      <c r="R35" s="10" t="str">
        <f>IF(NhatKy!D35="","",NhatKy!D35)</f>
        <v/>
      </c>
      <c r="S35" s="8"/>
    </row>
    <row r="36" spans="1:19" ht="25.5">
      <c r="A36" s="12">
        <v>32</v>
      </c>
      <c r="B36" s="13">
        <f>Dashboard!$B$4+A36-1</f>
        <v>46331</v>
      </c>
      <c r="C36" s="16" t="s">
        <v>17</v>
      </c>
      <c r="D36" s="5" t="s">
        <v>249</v>
      </c>
      <c r="E36" s="5" t="s">
        <v>250</v>
      </c>
      <c r="F36" s="5" t="s">
        <v>244</v>
      </c>
      <c r="G36" s="5" t="s">
        <v>251</v>
      </c>
      <c r="H36" s="5" t="s">
        <v>251</v>
      </c>
      <c r="I36" s="5" t="s">
        <v>252</v>
      </c>
      <c r="J36" s="5"/>
      <c r="K36" s="12">
        <f>COUNTIF(LeetCode!$A$5:$A$400,A36)</f>
        <v>3</v>
      </c>
      <c r="L36" s="12">
        <f>COUNTIFS(LeetCode!$A$5:$A$400,A36,LeetCode!$H$5:$H$400,"Xong")</f>
        <v>0</v>
      </c>
      <c r="M36" s="7"/>
      <c r="N36" s="7"/>
      <c r="O36" s="7"/>
      <c r="P36" s="12" t="str">
        <f t="shared" ca="1" si="0"/>
        <v>Chưa bắt đầu</v>
      </c>
      <c r="Q36" s="11">
        <v>3</v>
      </c>
      <c r="R36" s="10" t="str">
        <f>IF(NhatKy!D36="","",NhatKy!D36)</f>
        <v/>
      </c>
      <c r="S36" s="8"/>
    </row>
    <row r="37" spans="1:19" ht="25.5">
      <c r="A37" s="12">
        <v>33</v>
      </c>
      <c r="B37" s="13">
        <f>Dashboard!$B$4+A37-1</f>
        <v>46332</v>
      </c>
      <c r="C37" s="16" t="s">
        <v>17</v>
      </c>
      <c r="D37" s="5" t="s">
        <v>253</v>
      </c>
      <c r="E37" s="5" t="s">
        <v>254</v>
      </c>
      <c r="F37" s="5" t="s">
        <v>244</v>
      </c>
      <c r="G37" s="5" t="s">
        <v>255</v>
      </c>
      <c r="H37" s="5" t="s">
        <v>256</v>
      </c>
      <c r="I37" s="5" t="s">
        <v>257</v>
      </c>
      <c r="J37" s="5"/>
      <c r="K37" s="12">
        <f>COUNTIF(LeetCode!$A$5:$A$400,A37)</f>
        <v>3</v>
      </c>
      <c r="L37" s="12">
        <f>COUNTIFS(LeetCode!$A$5:$A$400,A37,LeetCode!$H$5:$H$400,"Xong")</f>
        <v>0</v>
      </c>
      <c r="M37" s="7"/>
      <c r="N37" s="7"/>
      <c r="O37" s="7"/>
      <c r="P37" s="12" t="str">
        <f t="shared" ref="P37:P68" ca="1" si="1">IF(AND(M37="✓",N37="✓",O37="✓",L37&gt;=K37),"Hoàn thành",IF(B37&lt;TODAY(),"Trễ hạn",IF(OR(M37="✓",N37="✓",O37="✓",L37&gt;0),"Đang học","Chưa bắt đầu")))</f>
        <v>Chưa bắt đầu</v>
      </c>
      <c r="Q37" s="11">
        <v>3</v>
      </c>
      <c r="R37" s="10" t="str">
        <f>IF(NhatKy!D37="","",NhatKy!D37)</f>
        <v/>
      </c>
      <c r="S37" s="8"/>
    </row>
    <row r="38" spans="1:19" ht="25.5">
      <c r="A38" s="12">
        <v>34</v>
      </c>
      <c r="B38" s="13">
        <f>Dashboard!$B$4+A38-1</f>
        <v>46333</v>
      </c>
      <c r="C38" s="16" t="s">
        <v>17</v>
      </c>
      <c r="D38" s="5" t="s">
        <v>258</v>
      </c>
      <c r="E38" s="5" t="s">
        <v>259</v>
      </c>
      <c r="F38" s="5" t="s">
        <v>244</v>
      </c>
      <c r="G38" s="5" t="s">
        <v>260</v>
      </c>
      <c r="H38" s="5" t="s">
        <v>261</v>
      </c>
      <c r="I38" s="5" t="s">
        <v>262</v>
      </c>
      <c r="J38" s="5" t="s">
        <v>263</v>
      </c>
      <c r="K38" s="12">
        <f>COUNTIF(LeetCode!$A$5:$A$400,A38)</f>
        <v>2</v>
      </c>
      <c r="L38" s="12">
        <f>COUNTIFS(LeetCode!$A$5:$A$400,A38,LeetCode!$H$5:$H$400,"Xong")</f>
        <v>0</v>
      </c>
      <c r="M38" s="7"/>
      <c r="N38" s="7"/>
      <c r="O38" s="7"/>
      <c r="P38" s="12" t="str">
        <f t="shared" ca="1" si="1"/>
        <v>Chưa bắt đầu</v>
      </c>
      <c r="Q38" s="11">
        <v>3</v>
      </c>
      <c r="R38" s="10" t="str">
        <f>IF(NhatKy!D38="","",NhatKy!D38)</f>
        <v/>
      </c>
      <c r="S38" s="8"/>
    </row>
    <row r="39" spans="1:19" ht="25.5">
      <c r="A39" s="12">
        <v>35</v>
      </c>
      <c r="B39" s="13">
        <f>Dashboard!$B$4+A39-1</f>
        <v>46334</v>
      </c>
      <c r="C39" s="6" t="s">
        <v>19</v>
      </c>
      <c r="D39" s="5" t="s">
        <v>264</v>
      </c>
      <c r="E39" s="5" t="s">
        <v>265</v>
      </c>
      <c r="F39" s="5" t="s">
        <v>266</v>
      </c>
      <c r="G39" s="5" t="s">
        <v>267</v>
      </c>
      <c r="H39" s="5" t="s">
        <v>268</v>
      </c>
      <c r="I39" s="5" t="s">
        <v>269</v>
      </c>
      <c r="J39" s="5"/>
      <c r="K39" s="12">
        <f>COUNTIF(LeetCode!$A$5:$A$400,A39)</f>
        <v>4</v>
      </c>
      <c r="L39" s="12">
        <f>COUNTIFS(LeetCode!$A$5:$A$400,A39,LeetCode!$H$5:$H$400,"Xong")</f>
        <v>0</v>
      </c>
      <c r="M39" s="7"/>
      <c r="N39" s="7"/>
      <c r="O39" s="7"/>
      <c r="P39" s="12" t="str">
        <f t="shared" ca="1" si="1"/>
        <v>Chưa bắt đầu</v>
      </c>
      <c r="Q39" s="11">
        <v>3</v>
      </c>
      <c r="R39" s="10" t="str">
        <f>IF(NhatKy!D39="","",NhatKy!D39)</f>
        <v/>
      </c>
      <c r="S39" s="8"/>
    </row>
    <row r="40" spans="1:19">
      <c r="A40" s="12">
        <v>36</v>
      </c>
      <c r="B40" s="13">
        <f>Dashboard!$B$4+A40-1</f>
        <v>46335</v>
      </c>
      <c r="C40" s="6" t="s">
        <v>19</v>
      </c>
      <c r="D40" s="5" t="s">
        <v>270</v>
      </c>
      <c r="E40" s="5" t="s">
        <v>271</v>
      </c>
      <c r="F40" s="5" t="s">
        <v>266</v>
      </c>
      <c r="G40" s="5" t="s">
        <v>272</v>
      </c>
      <c r="H40" s="5" t="s">
        <v>273</v>
      </c>
      <c r="I40" s="5" t="s">
        <v>274</v>
      </c>
      <c r="J40" s="5"/>
      <c r="K40" s="12">
        <f>COUNTIF(LeetCode!$A$5:$A$400,A40)</f>
        <v>4</v>
      </c>
      <c r="L40" s="12">
        <f>COUNTIFS(LeetCode!$A$5:$A$400,A40,LeetCode!$H$5:$H$400,"Xong")</f>
        <v>0</v>
      </c>
      <c r="M40" s="7"/>
      <c r="N40" s="7"/>
      <c r="O40" s="7"/>
      <c r="P40" s="12" t="str">
        <f t="shared" ca="1" si="1"/>
        <v>Chưa bắt đầu</v>
      </c>
      <c r="Q40" s="11">
        <v>3</v>
      </c>
      <c r="R40" s="10" t="str">
        <f>IF(NhatKy!D40="","",NhatKy!D40)</f>
        <v/>
      </c>
      <c r="S40" s="8"/>
    </row>
    <row r="41" spans="1:19">
      <c r="A41" s="12">
        <v>37</v>
      </c>
      <c r="B41" s="13">
        <f>Dashboard!$B$4+A41-1</f>
        <v>46336</v>
      </c>
      <c r="C41" s="6" t="s">
        <v>19</v>
      </c>
      <c r="D41" s="5" t="s">
        <v>275</v>
      </c>
      <c r="E41" s="5" t="s">
        <v>276</v>
      </c>
      <c r="F41" s="5" t="s">
        <v>266</v>
      </c>
      <c r="G41" s="5" t="s">
        <v>277</v>
      </c>
      <c r="H41" s="5" t="s">
        <v>278</v>
      </c>
      <c r="I41" s="5" t="s">
        <v>279</v>
      </c>
      <c r="J41" s="5"/>
      <c r="K41" s="12">
        <f>COUNTIF(LeetCode!$A$5:$A$400,A41)</f>
        <v>4</v>
      </c>
      <c r="L41" s="12">
        <f>COUNTIFS(LeetCode!$A$5:$A$400,A41,LeetCode!$H$5:$H$400,"Xong")</f>
        <v>0</v>
      </c>
      <c r="M41" s="7"/>
      <c r="N41" s="7"/>
      <c r="O41" s="7"/>
      <c r="P41" s="12" t="str">
        <f t="shared" ca="1" si="1"/>
        <v>Chưa bắt đầu</v>
      </c>
      <c r="Q41" s="11">
        <v>3</v>
      </c>
      <c r="R41" s="10" t="str">
        <f>IF(NhatKy!D41="","",NhatKy!D41)</f>
        <v/>
      </c>
      <c r="S41" s="8"/>
    </row>
    <row r="42" spans="1:19">
      <c r="A42" s="12">
        <v>38</v>
      </c>
      <c r="B42" s="13">
        <f>Dashboard!$B$4+A42-1</f>
        <v>46337</v>
      </c>
      <c r="C42" s="6" t="s">
        <v>19</v>
      </c>
      <c r="D42" s="5" t="s">
        <v>280</v>
      </c>
      <c r="E42" s="5" t="s">
        <v>281</v>
      </c>
      <c r="F42" s="5" t="s">
        <v>266</v>
      </c>
      <c r="G42" s="5" t="s">
        <v>282</v>
      </c>
      <c r="H42" s="5" t="s">
        <v>283</v>
      </c>
      <c r="I42" s="5" t="s">
        <v>284</v>
      </c>
      <c r="J42" s="5"/>
      <c r="K42" s="12">
        <f>COUNTIF(LeetCode!$A$5:$A$400,A42)</f>
        <v>4</v>
      </c>
      <c r="L42" s="12">
        <f>COUNTIFS(LeetCode!$A$5:$A$400,A42,LeetCode!$H$5:$H$400,"Xong")</f>
        <v>0</v>
      </c>
      <c r="M42" s="7"/>
      <c r="N42" s="7"/>
      <c r="O42" s="7"/>
      <c r="P42" s="12" t="str">
        <f t="shared" ca="1" si="1"/>
        <v>Chưa bắt đầu</v>
      </c>
      <c r="Q42" s="11">
        <v>3</v>
      </c>
      <c r="R42" s="10" t="str">
        <f>IF(NhatKy!D42="","",NhatKy!D42)</f>
        <v/>
      </c>
      <c r="S42" s="8"/>
    </row>
    <row r="43" spans="1:19">
      <c r="A43" s="12">
        <v>39</v>
      </c>
      <c r="B43" s="13">
        <f>Dashboard!$B$4+A43-1</f>
        <v>46338</v>
      </c>
      <c r="C43" s="6" t="s">
        <v>19</v>
      </c>
      <c r="D43" s="5" t="s">
        <v>285</v>
      </c>
      <c r="E43" s="5" t="s">
        <v>286</v>
      </c>
      <c r="F43" s="5" t="s">
        <v>266</v>
      </c>
      <c r="G43" s="5" t="s">
        <v>287</v>
      </c>
      <c r="H43" s="5" t="s">
        <v>288</v>
      </c>
      <c r="I43" s="5" t="s">
        <v>289</v>
      </c>
      <c r="J43" s="5"/>
      <c r="K43" s="12">
        <f>COUNTIF(LeetCode!$A$5:$A$400,A43)</f>
        <v>4</v>
      </c>
      <c r="L43" s="12">
        <f>COUNTIFS(LeetCode!$A$5:$A$400,A43,LeetCode!$H$5:$H$400,"Xong")</f>
        <v>0</v>
      </c>
      <c r="M43" s="7"/>
      <c r="N43" s="7"/>
      <c r="O43" s="7"/>
      <c r="P43" s="12" t="str">
        <f t="shared" ca="1" si="1"/>
        <v>Chưa bắt đầu</v>
      </c>
      <c r="Q43" s="11">
        <v>3</v>
      </c>
      <c r="R43" s="10" t="str">
        <f>IF(NhatKy!D43="","",NhatKy!D43)</f>
        <v/>
      </c>
      <c r="S43" s="8"/>
    </row>
    <row r="44" spans="1:19" ht="25.5">
      <c r="A44" s="12">
        <v>40</v>
      </c>
      <c r="B44" s="13">
        <f>Dashboard!$B$4+A44-1</f>
        <v>46339</v>
      </c>
      <c r="C44" s="6" t="s">
        <v>19</v>
      </c>
      <c r="D44" s="5" t="s">
        <v>290</v>
      </c>
      <c r="E44" s="5" t="s">
        <v>291</v>
      </c>
      <c r="F44" s="5" t="s">
        <v>266</v>
      </c>
      <c r="G44" s="5" t="s">
        <v>292</v>
      </c>
      <c r="H44" s="5" t="s">
        <v>293</v>
      </c>
      <c r="I44" s="5" t="s">
        <v>294</v>
      </c>
      <c r="J44" s="5"/>
      <c r="K44" s="12">
        <f>COUNTIF(LeetCode!$A$5:$A$400,A44)</f>
        <v>3</v>
      </c>
      <c r="L44" s="12">
        <f>COUNTIFS(LeetCode!$A$5:$A$400,A44,LeetCode!$H$5:$H$400,"Xong")</f>
        <v>0</v>
      </c>
      <c r="M44" s="7"/>
      <c r="N44" s="7"/>
      <c r="O44" s="7"/>
      <c r="P44" s="12" t="str">
        <f t="shared" ca="1" si="1"/>
        <v>Chưa bắt đầu</v>
      </c>
      <c r="Q44" s="11">
        <v>3</v>
      </c>
      <c r="R44" s="10" t="str">
        <f>IF(NhatKy!D44="","",NhatKy!D44)</f>
        <v/>
      </c>
      <c r="S44" s="8"/>
    </row>
    <row r="45" spans="1:19" ht="25.5">
      <c r="A45" s="12">
        <v>41</v>
      </c>
      <c r="B45" s="13">
        <f>Dashboard!$B$4+A45-1</f>
        <v>46340</v>
      </c>
      <c r="C45" s="6" t="s">
        <v>19</v>
      </c>
      <c r="D45" s="5" t="s">
        <v>295</v>
      </c>
      <c r="E45" s="5" t="s">
        <v>296</v>
      </c>
      <c r="F45" s="5" t="s">
        <v>266</v>
      </c>
      <c r="G45" s="5" t="s">
        <v>297</v>
      </c>
      <c r="H45" s="5" t="s">
        <v>297</v>
      </c>
      <c r="I45" s="5" t="s">
        <v>298</v>
      </c>
      <c r="J45" s="5" t="s">
        <v>299</v>
      </c>
      <c r="K45" s="12">
        <f>COUNTIF(LeetCode!$A$5:$A$400,A45)</f>
        <v>3</v>
      </c>
      <c r="L45" s="12">
        <f>COUNTIFS(LeetCode!$A$5:$A$400,A45,LeetCode!$H$5:$H$400,"Xong")</f>
        <v>0</v>
      </c>
      <c r="M45" s="7"/>
      <c r="N45" s="7"/>
      <c r="O45" s="7"/>
      <c r="P45" s="12" t="str">
        <f t="shared" ca="1" si="1"/>
        <v>Chưa bắt đầu</v>
      </c>
      <c r="Q45" s="11">
        <v>3</v>
      </c>
      <c r="R45" s="10" t="str">
        <f>IF(NhatKy!D45="","",NhatKy!D45)</f>
        <v/>
      </c>
      <c r="S45" s="8"/>
    </row>
    <row r="46" spans="1:19" ht="25.5">
      <c r="A46" s="12">
        <v>42</v>
      </c>
      <c r="B46" s="13">
        <f>Dashboard!$B$4+A46-1</f>
        <v>46341</v>
      </c>
      <c r="C46" s="6" t="s">
        <v>19</v>
      </c>
      <c r="D46" s="5" t="s">
        <v>300</v>
      </c>
      <c r="E46" s="5" t="s">
        <v>301</v>
      </c>
      <c r="F46" s="5" t="s">
        <v>266</v>
      </c>
      <c r="G46" s="5" t="s">
        <v>302</v>
      </c>
      <c r="H46" s="5" t="s">
        <v>303</v>
      </c>
      <c r="I46" s="5" t="s">
        <v>304</v>
      </c>
      <c r="J46" s="5" t="s">
        <v>305</v>
      </c>
      <c r="K46" s="12">
        <f>COUNTIF(LeetCode!$A$5:$A$400,A46)</f>
        <v>3</v>
      </c>
      <c r="L46" s="12">
        <f>COUNTIFS(LeetCode!$A$5:$A$400,A46,LeetCode!$H$5:$H$400,"Xong")</f>
        <v>0</v>
      </c>
      <c r="M46" s="7"/>
      <c r="N46" s="7"/>
      <c r="O46" s="7"/>
      <c r="P46" s="12" t="str">
        <f t="shared" ca="1" si="1"/>
        <v>Chưa bắt đầu</v>
      </c>
      <c r="Q46" s="11">
        <v>3</v>
      </c>
      <c r="R46" s="10" t="str">
        <f>IF(NhatKy!D46="","",NhatKy!D46)</f>
        <v/>
      </c>
      <c r="S46" s="8"/>
    </row>
    <row r="47" spans="1:19" ht="25.5">
      <c r="A47" s="12">
        <v>43</v>
      </c>
      <c r="B47" s="13">
        <f>Dashboard!$B$4+A47-1</f>
        <v>46342</v>
      </c>
      <c r="C47" s="6" t="s">
        <v>19</v>
      </c>
      <c r="D47" s="5" t="s">
        <v>306</v>
      </c>
      <c r="E47" s="5" t="s">
        <v>307</v>
      </c>
      <c r="F47" s="5" t="s">
        <v>308</v>
      </c>
      <c r="G47" s="5" t="s">
        <v>309</v>
      </c>
      <c r="H47" s="5" t="s">
        <v>310</v>
      </c>
      <c r="I47" s="5" t="s">
        <v>311</v>
      </c>
      <c r="J47" s="5" t="s">
        <v>312</v>
      </c>
      <c r="K47" s="12">
        <f>COUNTIF(LeetCode!$A$5:$A$400,A47)</f>
        <v>3</v>
      </c>
      <c r="L47" s="12">
        <f>COUNTIFS(LeetCode!$A$5:$A$400,A47,LeetCode!$H$5:$H$400,"Xong")</f>
        <v>0</v>
      </c>
      <c r="M47" s="7"/>
      <c r="N47" s="7"/>
      <c r="O47" s="7"/>
      <c r="P47" s="12" t="str">
        <f t="shared" ca="1" si="1"/>
        <v>Chưa bắt đầu</v>
      </c>
      <c r="Q47" s="11">
        <v>3</v>
      </c>
      <c r="R47" s="10" t="str">
        <f>IF(NhatKy!D47="","",NhatKy!D47)</f>
        <v/>
      </c>
      <c r="S47" s="8"/>
    </row>
    <row r="48" spans="1:19" ht="25.5">
      <c r="A48" s="12">
        <v>44</v>
      </c>
      <c r="B48" s="13">
        <f>Dashboard!$B$4+A48-1</f>
        <v>46343</v>
      </c>
      <c r="C48" s="6" t="s">
        <v>19</v>
      </c>
      <c r="D48" s="5" t="s">
        <v>313</v>
      </c>
      <c r="E48" s="5" t="s">
        <v>314</v>
      </c>
      <c r="F48" s="5" t="s">
        <v>308</v>
      </c>
      <c r="G48" s="5" t="s">
        <v>315</v>
      </c>
      <c r="H48" s="5" t="s">
        <v>316</v>
      </c>
      <c r="I48" s="5" t="s">
        <v>317</v>
      </c>
      <c r="J48" s="5"/>
      <c r="K48" s="12">
        <f>COUNTIF(LeetCode!$A$5:$A$400,A48)</f>
        <v>2</v>
      </c>
      <c r="L48" s="12">
        <f>COUNTIFS(LeetCode!$A$5:$A$400,A48,LeetCode!$H$5:$H$400,"Xong")</f>
        <v>0</v>
      </c>
      <c r="M48" s="7"/>
      <c r="N48" s="7"/>
      <c r="O48" s="7"/>
      <c r="P48" s="12" t="str">
        <f t="shared" ca="1" si="1"/>
        <v>Chưa bắt đầu</v>
      </c>
      <c r="Q48" s="11">
        <v>3</v>
      </c>
      <c r="R48" s="10" t="str">
        <f>IF(NhatKy!D48="","",NhatKy!D48)</f>
        <v/>
      </c>
      <c r="S48" s="8"/>
    </row>
    <row r="49" spans="1:19" ht="25.5">
      <c r="A49" s="12">
        <v>45</v>
      </c>
      <c r="B49" s="13">
        <f>Dashboard!$B$4+A49-1</f>
        <v>46344</v>
      </c>
      <c r="C49" s="17" t="s">
        <v>21</v>
      </c>
      <c r="D49" s="5" t="s">
        <v>318</v>
      </c>
      <c r="E49" s="5" t="s">
        <v>319</v>
      </c>
      <c r="F49" s="5" t="s">
        <v>320</v>
      </c>
      <c r="G49" s="5" t="s">
        <v>321</v>
      </c>
      <c r="H49" s="5" t="s">
        <v>128</v>
      </c>
      <c r="I49" s="5" t="s">
        <v>322</v>
      </c>
      <c r="J49" s="5"/>
      <c r="K49" s="12">
        <f>COUNTIF(LeetCode!$A$5:$A$400,A49)</f>
        <v>4</v>
      </c>
      <c r="L49" s="12">
        <f>COUNTIFS(LeetCode!$A$5:$A$400,A49,LeetCode!$H$5:$H$400,"Xong")</f>
        <v>0</v>
      </c>
      <c r="M49" s="7"/>
      <c r="N49" s="7"/>
      <c r="O49" s="7"/>
      <c r="P49" s="12" t="str">
        <f t="shared" ca="1" si="1"/>
        <v>Chưa bắt đầu</v>
      </c>
      <c r="Q49" s="11">
        <v>3</v>
      </c>
      <c r="R49" s="10" t="str">
        <f>IF(NhatKy!D49="","",NhatKy!D49)</f>
        <v/>
      </c>
      <c r="S49" s="8"/>
    </row>
    <row r="50" spans="1:19" ht="25.5">
      <c r="A50" s="12">
        <v>46</v>
      </c>
      <c r="B50" s="13">
        <f>Dashboard!$B$4+A50-1</f>
        <v>46345</v>
      </c>
      <c r="C50" s="17" t="s">
        <v>21</v>
      </c>
      <c r="D50" s="5" t="s">
        <v>323</v>
      </c>
      <c r="E50" s="5" t="s">
        <v>324</v>
      </c>
      <c r="F50" s="5" t="s">
        <v>320</v>
      </c>
      <c r="G50" s="5" t="s">
        <v>325</v>
      </c>
      <c r="H50" s="5" t="s">
        <v>326</v>
      </c>
      <c r="I50" s="5" t="s">
        <v>327</v>
      </c>
      <c r="J50" s="5"/>
      <c r="K50" s="12">
        <f>COUNTIF(LeetCode!$A$5:$A$400,A50)</f>
        <v>4</v>
      </c>
      <c r="L50" s="12">
        <f>COUNTIFS(LeetCode!$A$5:$A$400,A50,LeetCode!$H$5:$H$400,"Xong")</f>
        <v>0</v>
      </c>
      <c r="M50" s="7"/>
      <c r="N50" s="7"/>
      <c r="O50" s="7"/>
      <c r="P50" s="12" t="str">
        <f t="shared" ca="1" si="1"/>
        <v>Chưa bắt đầu</v>
      </c>
      <c r="Q50" s="11">
        <v>3</v>
      </c>
      <c r="R50" s="10" t="str">
        <f>IF(NhatKy!D50="","",NhatKy!D50)</f>
        <v/>
      </c>
      <c r="S50" s="8"/>
    </row>
    <row r="51" spans="1:19" ht="25.5">
      <c r="A51" s="12">
        <v>47</v>
      </c>
      <c r="B51" s="13">
        <f>Dashboard!$B$4+A51-1</f>
        <v>46346</v>
      </c>
      <c r="C51" s="17" t="s">
        <v>21</v>
      </c>
      <c r="D51" s="5" t="s">
        <v>328</v>
      </c>
      <c r="E51" s="5" t="s">
        <v>329</v>
      </c>
      <c r="F51" s="5" t="s">
        <v>320</v>
      </c>
      <c r="G51" s="5" t="s">
        <v>330</v>
      </c>
      <c r="H51" s="5" t="s">
        <v>331</v>
      </c>
      <c r="I51" s="5" t="s">
        <v>332</v>
      </c>
      <c r="J51" s="5"/>
      <c r="K51" s="12">
        <f>COUNTIF(LeetCode!$A$5:$A$400,A51)</f>
        <v>4</v>
      </c>
      <c r="L51" s="12">
        <f>COUNTIFS(LeetCode!$A$5:$A$400,A51,LeetCode!$H$5:$H$400,"Xong")</f>
        <v>0</v>
      </c>
      <c r="M51" s="7"/>
      <c r="N51" s="7"/>
      <c r="O51" s="7"/>
      <c r="P51" s="12" t="str">
        <f t="shared" ca="1" si="1"/>
        <v>Chưa bắt đầu</v>
      </c>
      <c r="Q51" s="11">
        <v>3</v>
      </c>
      <c r="R51" s="10" t="str">
        <f>IF(NhatKy!D51="","",NhatKy!D51)</f>
        <v/>
      </c>
      <c r="S51" s="8"/>
    </row>
    <row r="52" spans="1:19" ht="25.5">
      <c r="A52" s="12">
        <v>48</v>
      </c>
      <c r="B52" s="13">
        <f>Dashboard!$B$4+A52-1</f>
        <v>46347</v>
      </c>
      <c r="C52" s="17" t="s">
        <v>21</v>
      </c>
      <c r="D52" s="5" t="s">
        <v>333</v>
      </c>
      <c r="E52" s="5" t="s">
        <v>334</v>
      </c>
      <c r="F52" s="5" t="s">
        <v>320</v>
      </c>
      <c r="G52" s="5" t="s">
        <v>335</v>
      </c>
      <c r="H52" s="5" t="s">
        <v>336</v>
      </c>
      <c r="I52" s="5" t="s">
        <v>337</v>
      </c>
      <c r="J52" s="5"/>
      <c r="K52" s="12">
        <f>COUNTIF(LeetCode!$A$5:$A$400,A52)</f>
        <v>4</v>
      </c>
      <c r="L52" s="12">
        <f>COUNTIFS(LeetCode!$A$5:$A$400,A52,LeetCode!$H$5:$H$400,"Xong")</f>
        <v>0</v>
      </c>
      <c r="M52" s="7"/>
      <c r="N52" s="7"/>
      <c r="O52" s="7"/>
      <c r="P52" s="12" t="str">
        <f t="shared" ca="1" si="1"/>
        <v>Chưa bắt đầu</v>
      </c>
      <c r="Q52" s="11">
        <v>3</v>
      </c>
      <c r="R52" s="10" t="str">
        <f>IF(NhatKy!D52="","",NhatKy!D52)</f>
        <v/>
      </c>
      <c r="S52" s="8"/>
    </row>
    <row r="53" spans="1:19" ht="25.5">
      <c r="A53" s="12">
        <v>49</v>
      </c>
      <c r="B53" s="13">
        <f>Dashboard!$B$4+A53-1</f>
        <v>46348</v>
      </c>
      <c r="C53" s="17" t="s">
        <v>21</v>
      </c>
      <c r="D53" s="5" t="s">
        <v>338</v>
      </c>
      <c r="E53" s="5" t="s">
        <v>339</v>
      </c>
      <c r="F53" s="5" t="s">
        <v>320</v>
      </c>
      <c r="G53" s="5" t="s">
        <v>340</v>
      </c>
      <c r="H53" s="5" t="s">
        <v>341</v>
      </c>
      <c r="I53" s="5" t="s">
        <v>342</v>
      </c>
      <c r="J53" s="5"/>
      <c r="K53" s="12">
        <f>COUNTIF(LeetCode!$A$5:$A$400,A53)</f>
        <v>4</v>
      </c>
      <c r="L53" s="12">
        <f>COUNTIFS(LeetCode!$A$5:$A$400,A53,LeetCode!$H$5:$H$400,"Xong")</f>
        <v>0</v>
      </c>
      <c r="M53" s="7"/>
      <c r="N53" s="7"/>
      <c r="O53" s="7"/>
      <c r="P53" s="12" t="str">
        <f t="shared" ca="1" si="1"/>
        <v>Chưa bắt đầu</v>
      </c>
      <c r="Q53" s="11">
        <v>3</v>
      </c>
      <c r="R53" s="10" t="str">
        <f>IF(NhatKy!D53="","",NhatKy!D53)</f>
        <v/>
      </c>
      <c r="S53" s="8"/>
    </row>
    <row r="54" spans="1:19" ht="25.5">
      <c r="A54" s="12">
        <v>50</v>
      </c>
      <c r="B54" s="13">
        <f>Dashboard!$B$4+A54-1</f>
        <v>46349</v>
      </c>
      <c r="C54" s="17" t="s">
        <v>21</v>
      </c>
      <c r="D54" s="5" t="s">
        <v>343</v>
      </c>
      <c r="E54" s="5" t="s">
        <v>344</v>
      </c>
      <c r="F54" s="5" t="s">
        <v>320</v>
      </c>
      <c r="G54" s="5" t="s">
        <v>345</v>
      </c>
      <c r="H54" s="5" t="s">
        <v>346</v>
      </c>
      <c r="I54" s="5" t="s">
        <v>347</v>
      </c>
      <c r="J54" s="5"/>
      <c r="K54" s="12">
        <f>COUNTIF(LeetCode!$A$5:$A$400,A54)</f>
        <v>4</v>
      </c>
      <c r="L54" s="12">
        <f>COUNTIFS(LeetCode!$A$5:$A$400,A54,LeetCode!$H$5:$H$400,"Xong")</f>
        <v>0</v>
      </c>
      <c r="M54" s="7"/>
      <c r="N54" s="7"/>
      <c r="O54" s="7"/>
      <c r="P54" s="12" t="str">
        <f t="shared" ca="1" si="1"/>
        <v>Chưa bắt đầu</v>
      </c>
      <c r="Q54" s="11">
        <v>3</v>
      </c>
      <c r="R54" s="10" t="str">
        <f>IF(NhatKy!D54="","",NhatKy!D54)</f>
        <v/>
      </c>
      <c r="S54" s="8"/>
    </row>
    <row r="55" spans="1:19" ht="25.5">
      <c r="A55" s="12">
        <v>51</v>
      </c>
      <c r="B55" s="13">
        <f>Dashboard!$B$4+A55-1</f>
        <v>46350</v>
      </c>
      <c r="C55" s="17" t="s">
        <v>21</v>
      </c>
      <c r="D55" s="5" t="s">
        <v>348</v>
      </c>
      <c r="E55" s="5" t="s">
        <v>349</v>
      </c>
      <c r="F55" s="5" t="s">
        <v>320</v>
      </c>
      <c r="G55" s="5" t="s">
        <v>350</v>
      </c>
      <c r="H55" s="5" t="s">
        <v>351</v>
      </c>
      <c r="I55" s="5" t="s">
        <v>352</v>
      </c>
      <c r="J55" s="5"/>
      <c r="K55" s="12">
        <f>COUNTIF(LeetCode!$A$5:$A$400,A55)</f>
        <v>3</v>
      </c>
      <c r="L55" s="12">
        <f>COUNTIFS(LeetCode!$A$5:$A$400,A55,LeetCode!$H$5:$H$400,"Xong")</f>
        <v>0</v>
      </c>
      <c r="M55" s="7"/>
      <c r="N55" s="7"/>
      <c r="O55" s="7"/>
      <c r="P55" s="12" t="str">
        <f t="shared" ca="1" si="1"/>
        <v>Chưa bắt đầu</v>
      </c>
      <c r="Q55" s="11">
        <v>3</v>
      </c>
      <c r="R55" s="10" t="str">
        <f>IF(NhatKy!D55="","",NhatKy!D55)</f>
        <v/>
      </c>
      <c r="S55" s="8"/>
    </row>
    <row r="56" spans="1:19" ht="25.5">
      <c r="A56" s="12">
        <v>52</v>
      </c>
      <c r="B56" s="13">
        <f>Dashboard!$B$4+A56-1</f>
        <v>46351</v>
      </c>
      <c r="C56" s="18" t="s">
        <v>23</v>
      </c>
      <c r="D56" s="5" t="s">
        <v>353</v>
      </c>
      <c r="E56" s="5" t="s">
        <v>354</v>
      </c>
      <c r="F56" s="5" t="s">
        <v>355</v>
      </c>
      <c r="G56" s="5" t="s">
        <v>356</v>
      </c>
      <c r="H56" s="5" t="s">
        <v>356</v>
      </c>
      <c r="I56" s="5" t="s">
        <v>357</v>
      </c>
      <c r="J56" s="5"/>
      <c r="K56" s="12">
        <f>COUNTIF(LeetCode!$A$5:$A$400,A56)</f>
        <v>4</v>
      </c>
      <c r="L56" s="12">
        <f>COUNTIFS(LeetCode!$A$5:$A$400,A56,LeetCode!$H$5:$H$400,"Xong")</f>
        <v>0</v>
      </c>
      <c r="M56" s="7"/>
      <c r="N56" s="7"/>
      <c r="O56" s="7"/>
      <c r="P56" s="12" t="str">
        <f t="shared" ca="1" si="1"/>
        <v>Chưa bắt đầu</v>
      </c>
      <c r="Q56" s="11">
        <v>3</v>
      </c>
      <c r="R56" s="10" t="str">
        <f>IF(NhatKy!D56="","",NhatKy!D56)</f>
        <v/>
      </c>
      <c r="S56" s="8"/>
    </row>
    <row r="57" spans="1:19" ht="25.5">
      <c r="A57" s="12">
        <v>53</v>
      </c>
      <c r="B57" s="13">
        <f>Dashboard!$B$4+A57-1</f>
        <v>46352</v>
      </c>
      <c r="C57" s="18" t="s">
        <v>23</v>
      </c>
      <c r="D57" s="5" t="s">
        <v>358</v>
      </c>
      <c r="E57" s="5" t="s">
        <v>359</v>
      </c>
      <c r="F57" s="5" t="s">
        <v>355</v>
      </c>
      <c r="G57" s="5" t="s">
        <v>360</v>
      </c>
      <c r="H57" s="5" t="s">
        <v>361</v>
      </c>
      <c r="I57" s="5" t="s">
        <v>362</v>
      </c>
      <c r="J57" s="5"/>
      <c r="K57" s="12">
        <f>COUNTIF(LeetCode!$A$5:$A$400,A57)</f>
        <v>3</v>
      </c>
      <c r="L57" s="12">
        <f>COUNTIFS(LeetCode!$A$5:$A$400,A57,LeetCode!$H$5:$H$400,"Xong")</f>
        <v>0</v>
      </c>
      <c r="M57" s="7"/>
      <c r="N57" s="7"/>
      <c r="O57" s="7"/>
      <c r="P57" s="12" t="str">
        <f t="shared" ca="1" si="1"/>
        <v>Chưa bắt đầu</v>
      </c>
      <c r="Q57" s="11">
        <v>3</v>
      </c>
      <c r="R57" s="10" t="str">
        <f>IF(NhatKy!D57="","",NhatKy!D57)</f>
        <v/>
      </c>
      <c r="S57" s="8"/>
    </row>
    <row r="58" spans="1:19" ht="25.5">
      <c r="A58" s="12">
        <v>54</v>
      </c>
      <c r="B58" s="13">
        <f>Dashboard!$B$4+A58-1</f>
        <v>46353</v>
      </c>
      <c r="C58" s="18" t="s">
        <v>23</v>
      </c>
      <c r="D58" s="5" t="s">
        <v>363</v>
      </c>
      <c r="E58" s="5" t="s">
        <v>364</v>
      </c>
      <c r="F58" s="5" t="s">
        <v>355</v>
      </c>
      <c r="G58" s="5" t="s">
        <v>365</v>
      </c>
      <c r="H58" s="5" t="s">
        <v>365</v>
      </c>
      <c r="I58" s="5" t="s">
        <v>366</v>
      </c>
      <c r="J58" s="5"/>
      <c r="K58" s="12">
        <f>COUNTIF(LeetCode!$A$5:$A$400,A58)</f>
        <v>4</v>
      </c>
      <c r="L58" s="12">
        <f>COUNTIFS(LeetCode!$A$5:$A$400,A58,LeetCode!$H$5:$H$400,"Xong")</f>
        <v>0</v>
      </c>
      <c r="M58" s="7"/>
      <c r="N58" s="7"/>
      <c r="O58" s="7"/>
      <c r="P58" s="12" t="str">
        <f t="shared" ca="1" si="1"/>
        <v>Chưa bắt đầu</v>
      </c>
      <c r="Q58" s="11">
        <v>3</v>
      </c>
      <c r="R58" s="10" t="str">
        <f>IF(NhatKy!D58="","",NhatKy!D58)</f>
        <v/>
      </c>
      <c r="S58" s="8"/>
    </row>
    <row r="59" spans="1:19" ht="25.5">
      <c r="A59" s="12">
        <v>55</v>
      </c>
      <c r="B59" s="13">
        <f>Dashboard!$B$4+A59-1</f>
        <v>46354</v>
      </c>
      <c r="C59" s="18" t="s">
        <v>23</v>
      </c>
      <c r="D59" s="5" t="s">
        <v>367</v>
      </c>
      <c r="E59" s="5" t="s">
        <v>368</v>
      </c>
      <c r="F59" s="5" t="s">
        <v>355</v>
      </c>
      <c r="G59" s="5" t="s">
        <v>369</v>
      </c>
      <c r="H59" s="5" t="s">
        <v>369</v>
      </c>
      <c r="I59" s="5" t="s">
        <v>370</v>
      </c>
      <c r="J59" s="5"/>
      <c r="K59" s="12">
        <f>COUNTIF(LeetCode!$A$5:$A$400,A59)</f>
        <v>3</v>
      </c>
      <c r="L59" s="12">
        <f>COUNTIFS(LeetCode!$A$5:$A$400,A59,LeetCode!$H$5:$H$400,"Xong")</f>
        <v>0</v>
      </c>
      <c r="M59" s="7"/>
      <c r="N59" s="7"/>
      <c r="O59" s="7"/>
      <c r="P59" s="12" t="str">
        <f t="shared" ca="1" si="1"/>
        <v>Chưa bắt đầu</v>
      </c>
      <c r="Q59" s="11">
        <v>3</v>
      </c>
      <c r="R59" s="10" t="str">
        <f>IF(NhatKy!D59="","",NhatKy!D59)</f>
        <v/>
      </c>
      <c r="S59" s="8"/>
    </row>
    <row r="60" spans="1:19" ht="25.5">
      <c r="A60" s="12">
        <v>56</v>
      </c>
      <c r="B60" s="13">
        <f>Dashboard!$B$4+A60-1</f>
        <v>46355</v>
      </c>
      <c r="C60" s="18" t="s">
        <v>23</v>
      </c>
      <c r="D60" s="5" t="s">
        <v>371</v>
      </c>
      <c r="E60" s="5" t="s">
        <v>372</v>
      </c>
      <c r="F60" s="5" t="s">
        <v>355</v>
      </c>
      <c r="G60" s="5" t="s">
        <v>373</v>
      </c>
      <c r="H60" s="5" t="s">
        <v>374</v>
      </c>
      <c r="I60" s="5" t="s">
        <v>375</v>
      </c>
      <c r="J60" s="5"/>
      <c r="K60" s="12">
        <f>COUNTIF(LeetCode!$A$5:$A$400,A60)</f>
        <v>3</v>
      </c>
      <c r="L60" s="12">
        <f>COUNTIFS(LeetCode!$A$5:$A$400,A60,LeetCode!$H$5:$H$400,"Xong")</f>
        <v>0</v>
      </c>
      <c r="M60" s="7"/>
      <c r="N60" s="7"/>
      <c r="O60" s="7"/>
      <c r="P60" s="12" t="str">
        <f t="shared" ca="1" si="1"/>
        <v>Chưa bắt đầu</v>
      </c>
      <c r="Q60" s="11">
        <v>3</v>
      </c>
      <c r="R60" s="10" t="str">
        <f>IF(NhatKy!D60="","",NhatKy!D60)</f>
        <v/>
      </c>
      <c r="S60" s="8"/>
    </row>
    <row r="61" spans="1:19" ht="25.5">
      <c r="A61" s="12">
        <v>57</v>
      </c>
      <c r="B61" s="13">
        <f>Dashboard!$B$4+A61-1</f>
        <v>46356</v>
      </c>
      <c r="C61" s="19" t="s">
        <v>25</v>
      </c>
      <c r="D61" s="5" t="s">
        <v>376</v>
      </c>
      <c r="E61" s="5" t="s">
        <v>377</v>
      </c>
      <c r="F61" s="5" t="s">
        <v>378</v>
      </c>
      <c r="G61" s="5" t="s">
        <v>379</v>
      </c>
      <c r="H61" s="5" t="s">
        <v>380</v>
      </c>
      <c r="I61" s="5" t="s">
        <v>381</v>
      </c>
      <c r="J61" s="5"/>
      <c r="K61" s="12">
        <f>COUNTIF(LeetCode!$A$5:$A$400,A61)</f>
        <v>4</v>
      </c>
      <c r="L61" s="12">
        <f>COUNTIFS(LeetCode!$A$5:$A$400,A61,LeetCode!$H$5:$H$400,"Xong")</f>
        <v>0</v>
      </c>
      <c r="M61" s="7"/>
      <c r="N61" s="7"/>
      <c r="O61" s="7"/>
      <c r="P61" s="12" t="str">
        <f t="shared" ca="1" si="1"/>
        <v>Chưa bắt đầu</v>
      </c>
      <c r="Q61" s="11">
        <v>3</v>
      </c>
      <c r="R61" s="10" t="str">
        <f>IF(NhatKy!D61="","",NhatKy!D61)</f>
        <v/>
      </c>
      <c r="S61" s="8"/>
    </row>
    <row r="62" spans="1:19">
      <c r="A62" s="12">
        <v>58</v>
      </c>
      <c r="B62" s="13">
        <f>Dashboard!$B$4+A62-1</f>
        <v>46357</v>
      </c>
      <c r="C62" s="19" t="s">
        <v>25</v>
      </c>
      <c r="D62" s="5" t="s">
        <v>382</v>
      </c>
      <c r="E62" s="5" t="s">
        <v>383</v>
      </c>
      <c r="F62" s="5" t="s">
        <v>378</v>
      </c>
      <c r="G62" s="5" t="s">
        <v>384</v>
      </c>
      <c r="H62" s="5" t="s">
        <v>385</v>
      </c>
      <c r="I62" s="5" t="s">
        <v>386</v>
      </c>
      <c r="J62" s="5"/>
      <c r="K62" s="12">
        <f>COUNTIF(LeetCode!$A$5:$A$400,A62)</f>
        <v>4</v>
      </c>
      <c r="L62" s="12">
        <f>COUNTIFS(LeetCode!$A$5:$A$400,A62,LeetCode!$H$5:$H$400,"Xong")</f>
        <v>0</v>
      </c>
      <c r="M62" s="7"/>
      <c r="N62" s="7"/>
      <c r="O62" s="7"/>
      <c r="P62" s="12" t="str">
        <f t="shared" ca="1" si="1"/>
        <v>Chưa bắt đầu</v>
      </c>
      <c r="Q62" s="11">
        <v>3</v>
      </c>
      <c r="R62" s="10" t="str">
        <f>IF(NhatKy!D62="","",NhatKy!D62)</f>
        <v/>
      </c>
      <c r="S62" s="8"/>
    </row>
    <row r="63" spans="1:19">
      <c r="A63" s="12">
        <v>59</v>
      </c>
      <c r="B63" s="13">
        <f>Dashboard!$B$4+A63-1</f>
        <v>46358</v>
      </c>
      <c r="C63" s="19" t="s">
        <v>25</v>
      </c>
      <c r="D63" s="5" t="s">
        <v>387</v>
      </c>
      <c r="E63" s="5" t="s">
        <v>388</v>
      </c>
      <c r="F63" s="5" t="s">
        <v>378</v>
      </c>
      <c r="G63" s="5" t="s">
        <v>389</v>
      </c>
      <c r="H63" s="5" t="s">
        <v>390</v>
      </c>
      <c r="I63" s="5" t="s">
        <v>391</v>
      </c>
      <c r="J63" s="5"/>
      <c r="K63" s="12">
        <f>COUNTIF(LeetCode!$A$5:$A$400,A63)</f>
        <v>4</v>
      </c>
      <c r="L63" s="12">
        <f>COUNTIFS(LeetCode!$A$5:$A$400,A63,LeetCode!$H$5:$H$400,"Xong")</f>
        <v>0</v>
      </c>
      <c r="M63" s="7"/>
      <c r="N63" s="7"/>
      <c r="O63" s="7"/>
      <c r="P63" s="12" t="str">
        <f t="shared" ca="1" si="1"/>
        <v>Chưa bắt đầu</v>
      </c>
      <c r="Q63" s="11">
        <v>3</v>
      </c>
      <c r="R63" s="10" t="str">
        <f>IF(NhatKy!D63="","",NhatKy!D63)</f>
        <v/>
      </c>
      <c r="S63" s="8"/>
    </row>
    <row r="64" spans="1:19">
      <c r="A64" s="12">
        <v>60</v>
      </c>
      <c r="B64" s="13">
        <f>Dashboard!$B$4+A64-1</f>
        <v>46359</v>
      </c>
      <c r="C64" s="19" t="s">
        <v>25</v>
      </c>
      <c r="D64" s="5" t="s">
        <v>392</v>
      </c>
      <c r="E64" s="5" t="s">
        <v>393</v>
      </c>
      <c r="F64" s="5" t="s">
        <v>378</v>
      </c>
      <c r="G64" s="5" t="s">
        <v>158</v>
      </c>
      <c r="H64" s="5" t="s">
        <v>159</v>
      </c>
      <c r="I64" s="5" t="s">
        <v>394</v>
      </c>
      <c r="J64" s="5"/>
      <c r="K64" s="12">
        <f>COUNTIF(LeetCode!$A$5:$A$400,A64)</f>
        <v>4</v>
      </c>
      <c r="L64" s="12">
        <f>COUNTIFS(LeetCode!$A$5:$A$400,A64,LeetCode!$H$5:$H$400,"Xong")</f>
        <v>0</v>
      </c>
      <c r="M64" s="7"/>
      <c r="N64" s="7"/>
      <c r="O64" s="7"/>
      <c r="P64" s="12" t="str">
        <f t="shared" ca="1" si="1"/>
        <v>Chưa bắt đầu</v>
      </c>
      <c r="Q64" s="11">
        <v>3</v>
      </c>
      <c r="R64" s="10" t="str">
        <f>IF(NhatKy!D64="","",NhatKy!D64)</f>
        <v/>
      </c>
      <c r="S64" s="8"/>
    </row>
    <row r="65" spans="1:19" ht="25.5">
      <c r="A65" s="12">
        <v>61</v>
      </c>
      <c r="B65" s="13">
        <f>Dashboard!$B$4+A65-1</f>
        <v>46360</v>
      </c>
      <c r="C65" s="19" t="s">
        <v>25</v>
      </c>
      <c r="D65" s="5" t="s">
        <v>395</v>
      </c>
      <c r="E65" s="5" t="s">
        <v>396</v>
      </c>
      <c r="F65" s="5" t="s">
        <v>378</v>
      </c>
      <c r="G65" s="5" t="s">
        <v>397</v>
      </c>
      <c r="H65" s="5" t="s">
        <v>397</v>
      </c>
      <c r="I65" s="5" t="s">
        <v>398</v>
      </c>
      <c r="J65" s="5"/>
      <c r="K65" s="12">
        <f>COUNTIF(LeetCode!$A$5:$A$400,A65)</f>
        <v>4</v>
      </c>
      <c r="L65" s="12">
        <f>COUNTIFS(LeetCode!$A$5:$A$400,A65,LeetCode!$H$5:$H$400,"Xong")</f>
        <v>0</v>
      </c>
      <c r="M65" s="7"/>
      <c r="N65" s="7"/>
      <c r="O65" s="7"/>
      <c r="P65" s="12" t="str">
        <f t="shared" ca="1" si="1"/>
        <v>Chưa bắt đầu</v>
      </c>
      <c r="Q65" s="11">
        <v>3</v>
      </c>
      <c r="R65" s="10" t="str">
        <f>IF(NhatKy!D65="","",NhatKy!D65)</f>
        <v/>
      </c>
      <c r="S65" s="8"/>
    </row>
    <row r="66" spans="1:19">
      <c r="A66" s="12">
        <v>62</v>
      </c>
      <c r="B66" s="13">
        <f>Dashboard!$B$4+A66-1</f>
        <v>46361</v>
      </c>
      <c r="C66" s="19" t="s">
        <v>25</v>
      </c>
      <c r="D66" s="5" t="s">
        <v>399</v>
      </c>
      <c r="E66" s="5" t="s">
        <v>400</v>
      </c>
      <c r="F66" s="5" t="s">
        <v>378</v>
      </c>
      <c r="G66" s="5" t="s">
        <v>401</v>
      </c>
      <c r="H66" s="5" t="s">
        <v>401</v>
      </c>
      <c r="I66" s="5" t="s">
        <v>402</v>
      </c>
      <c r="J66" s="5"/>
      <c r="K66" s="12">
        <f>COUNTIF(LeetCode!$A$5:$A$400,A66)</f>
        <v>3</v>
      </c>
      <c r="L66" s="12">
        <f>COUNTIFS(LeetCode!$A$5:$A$400,A66,LeetCode!$H$5:$H$400,"Xong")</f>
        <v>0</v>
      </c>
      <c r="M66" s="7"/>
      <c r="N66" s="7"/>
      <c r="O66" s="7"/>
      <c r="P66" s="12" t="str">
        <f t="shared" ca="1" si="1"/>
        <v>Chưa bắt đầu</v>
      </c>
      <c r="Q66" s="11">
        <v>3</v>
      </c>
      <c r="R66" s="10" t="str">
        <f>IF(NhatKy!D66="","",NhatKy!D66)</f>
        <v/>
      </c>
      <c r="S66" s="8"/>
    </row>
    <row r="67" spans="1:19">
      <c r="A67" s="12">
        <v>63</v>
      </c>
      <c r="B67" s="13">
        <f>Dashboard!$B$4+A67-1</f>
        <v>46362</v>
      </c>
      <c r="C67" s="19" t="s">
        <v>25</v>
      </c>
      <c r="D67" s="5" t="s">
        <v>403</v>
      </c>
      <c r="E67" s="5" t="s">
        <v>404</v>
      </c>
      <c r="F67" s="5" t="s">
        <v>378</v>
      </c>
      <c r="G67" s="5" t="s">
        <v>405</v>
      </c>
      <c r="H67" s="5" t="s">
        <v>405</v>
      </c>
      <c r="I67" s="5" t="s">
        <v>406</v>
      </c>
      <c r="J67" s="5"/>
      <c r="K67" s="12">
        <f>COUNTIF(LeetCode!$A$5:$A$400,A67)</f>
        <v>4</v>
      </c>
      <c r="L67" s="12">
        <f>COUNTIFS(LeetCode!$A$5:$A$400,A67,LeetCode!$H$5:$H$400,"Xong")</f>
        <v>0</v>
      </c>
      <c r="M67" s="7"/>
      <c r="N67" s="7"/>
      <c r="O67" s="7"/>
      <c r="P67" s="12" t="str">
        <f t="shared" ca="1" si="1"/>
        <v>Chưa bắt đầu</v>
      </c>
      <c r="Q67" s="11">
        <v>3</v>
      </c>
      <c r="R67" s="10" t="str">
        <f>IF(NhatKy!D67="","",NhatKy!D67)</f>
        <v/>
      </c>
      <c r="S67" s="8"/>
    </row>
    <row r="68" spans="1:19">
      <c r="A68" s="12">
        <v>64</v>
      </c>
      <c r="B68" s="13">
        <f>Dashboard!$B$4+A68-1</f>
        <v>46363</v>
      </c>
      <c r="C68" s="19" t="s">
        <v>25</v>
      </c>
      <c r="D68" s="5" t="s">
        <v>407</v>
      </c>
      <c r="E68" s="5" t="s">
        <v>408</v>
      </c>
      <c r="F68" s="5" t="s">
        <v>378</v>
      </c>
      <c r="G68" s="5" t="s">
        <v>409</v>
      </c>
      <c r="H68" s="5" t="s">
        <v>410</v>
      </c>
      <c r="I68" s="5" t="s">
        <v>411</v>
      </c>
      <c r="J68" s="5"/>
      <c r="K68" s="12">
        <f>COUNTIF(LeetCode!$A$5:$A$400,A68)</f>
        <v>4</v>
      </c>
      <c r="L68" s="12">
        <f>COUNTIFS(LeetCode!$A$5:$A$400,A68,LeetCode!$H$5:$H$400,"Xong")</f>
        <v>0</v>
      </c>
      <c r="M68" s="7"/>
      <c r="N68" s="7"/>
      <c r="O68" s="7"/>
      <c r="P68" s="12" t="str">
        <f t="shared" ca="1" si="1"/>
        <v>Chưa bắt đầu</v>
      </c>
      <c r="Q68" s="11">
        <v>3</v>
      </c>
      <c r="R68" s="10" t="str">
        <f>IF(NhatKy!D68="","",NhatKy!D68)</f>
        <v/>
      </c>
      <c r="S68" s="8"/>
    </row>
    <row r="69" spans="1:19">
      <c r="A69" s="12">
        <v>65</v>
      </c>
      <c r="B69" s="13">
        <f>Dashboard!$B$4+A69-1</f>
        <v>46364</v>
      </c>
      <c r="C69" s="19" t="s">
        <v>25</v>
      </c>
      <c r="D69" s="5" t="s">
        <v>412</v>
      </c>
      <c r="E69" s="5" t="s">
        <v>413</v>
      </c>
      <c r="F69" s="5" t="s">
        <v>378</v>
      </c>
      <c r="G69" s="5" t="s">
        <v>158</v>
      </c>
      <c r="H69" s="5" t="s">
        <v>159</v>
      </c>
      <c r="I69" s="5" t="s">
        <v>414</v>
      </c>
      <c r="J69" s="5"/>
      <c r="K69" s="12">
        <f>COUNTIF(LeetCode!$A$5:$A$400,A69)</f>
        <v>4</v>
      </c>
      <c r="L69" s="12">
        <f>COUNTIFS(LeetCode!$A$5:$A$400,A69,LeetCode!$H$5:$H$400,"Xong")</f>
        <v>0</v>
      </c>
      <c r="M69" s="7"/>
      <c r="N69" s="7"/>
      <c r="O69" s="7"/>
      <c r="P69" s="12" t="str">
        <f t="shared" ref="P69:P100" ca="1" si="2">IF(AND(M69="✓",N69="✓",O69="✓",L69&gt;=K69),"Hoàn thành",IF(B69&lt;TODAY(),"Trễ hạn",IF(OR(M69="✓",N69="✓",O69="✓",L69&gt;0),"Đang học","Chưa bắt đầu")))</f>
        <v>Chưa bắt đầu</v>
      </c>
      <c r="Q69" s="11">
        <v>3</v>
      </c>
      <c r="R69" s="10" t="str">
        <f>IF(NhatKy!D69="","",NhatKy!D69)</f>
        <v/>
      </c>
      <c r="S69" s="8"/>
    </row>
    <row r="70" spans="1:19">
      <c r="A70" s="12">
        <v>66</v>
      </c>
      <c r="B70" s="13">
        <f>Dashboard!$B$4+A70-1</f>
        <v>46365</v>
      </c>
      <c r="C70" s="19" t="s">
        <v>25</v>
      </c>
      <c r="D70" s="5" t="s">
        <v>415</v>
      </c>
      <c r="E70" s="5" t="s">
        <v>416</v>
      </c>
      <c r="F70" s="5" t="s">
        <v>378</v>
      </c>
      <c r="G70" s="5" t="s">
        <v>417</v>
      </c>
      <c r="H70" s="5" t="s">
        <v>417</v>
      </c>
      <c r="I70" s="5" t="s">
        <v>418</v>
      </c>
      <c r="J70" s="5"/>
      <c r="K70" s="12">
        <f>COUNTIF(LeetCode!$A$5:$A$400,A70)</f>
        <v>4</v>
      </c>
      <c r="L70" s="12">
        <f>COUNTIFS(LeetCode!$A$5:$A$400,A70,LeetCode!$H$5:$H$400,"Xong")</f>
        <v>0</v>
      </c>
      <c r="M70" s="7"/>
      <c r="N70" s="7"/>
      <c r="O70" s="7"/>
      <c r="P70" s="12" t="str">
        <f t="shared" ca="1" si="2"/>
        <v>Chưa bắt đầu</v>
      </c>
      <c r="Q70" s="11">
        <v>3</v>
      </c>
      <c r="R70" s="10" t="str">
        <f>IF(NhatKy!D70="","",NhatKy!D70)</f>
        <v/>
      </c>
      <c r="S70" s="8"/>
    </row>
    <row r="71" spans="1:19">
      <c r="A71" s="12">
        <v>67</v>
      </c>
      <c r="B71" s="13">
        <f>Dashboard!$B$4+A71-1</f>
        <v>46366</v>
      </c>
      <c r="C71" s="19" t="s">
        <v>25</v>
      </c>
      <c r="D71" s="5" t="s">
        <v>419</v>
      </c>
      <c r="E71" s="5" t="s">
        <v>420</v>
      </c>
      <c r="F71" s="5" t="s">
        <v>378</v>
      </c>
      <c r="G71" s="5" t="s">
        <v>397</v>
      </c>
      <c r="H71" s="5" t="s">
        <v>397</v>
      </c>
      <c r="I71" s="5" t="s">
        <v>421</v>
      </c>
      <c r="J71" s="5"/>
      <c r="K71" s="12">
        <f>COUNTIF(LeetCode!$A$5:$A$400,A71)</f>
        <v>3</v>
      </c>
      <c r="L71" s="12">
        <f>COUNTIFS(LeetCode!$A$5:$A$400,A71,LeetCode!$H$5:$H$400,"Xong")</f>
        <v>0</v>
      </c>
      <c r="M71" s="7"/>
      <c r="N71" s="7"/>
      <c r="O71" s="7"/>
      <c r="P71" s="12" t="str">
        <f t="shared" ca="1" si="2"/>
        <v>Chưa bắt đầu</v>
      </c>
      <c r="Q71" s="11">
        <v>3</v>
      </c>
      <c r="R71" s="10" t="str">
        <f>IF(NhatKy!D71="","",NhatKy!D71)</f>
        <v/>
      </c>
      <c r="S71" s="8"/>
    </row>
    <row r="72" spans="1:19">
      <c r="A72" s="12">
        <v>68</v>
      </c>
      <c r="B72" s="13">
        <f>Dashboard!$B$4+A72-1</f>
        <v>46367</v>
      </c>
      <c r="C72" s="19" t="s">
        <v>25</v>
      </c>
      <c r="D72" s="5" t="s">
        <v>422</v>
      </c>
      <c r="E72" s="5" t="s">
        <v>423</v>
      </c>
      <c r="F72" s="5" t="s">
        <v>378</v>
      </c>
      <c r="G72" s="5" t="s">
        <v>424</v>
      </c>
      <c r="H72" s="5" t="s">
        <v>424</v>
      </c>
      <c r="I72" s="5" t="s">
        <v>425</v>
      </c>
      <c r="J72" s="5"/>
      <c r="K72" s="12">
        <f>COUNTIF(LeetCode!$A$5:$A$400,A72)</f>
        <v>4</v>
      </c>
      <c r="L72" s="12">
        <f>COUNTIFS(LeetCode!$A$5:$A$400,A72,LeetCode!$H$5:$H$400,"Xong")</f>
        <v>0</v>
      </c>
      <c r="M72" s="7"/>
      <c r="N72" s="7"/>
      <c r="O72" s="7"/>
      <c r="P72" s="12" t="str">
        <f t="shared" ca="1" si="2"/>
        <v>Chưa bắt đầu</v>
      </c>
      <c r="Q72" s="11">
        <v>3</v>
      </c>
      <c r="R72" s="10" t="str">
        <f>IF(NhatKy!D72="","",NhatKy!D72)</f>
        <v/>
      </c>
      <c r="S72" s="8"/>
    </row>
    <row r="73" spans="1:19">
      <c r="A73" s="12">
        <v>69</v>
      </c>
      <c r="B73" s="13">
        <f>Dashboard!$B$4+A73-1</f>
        <v>46368</v>
      </c>
      <c r="C73" s="19" t="s">
        <v>25</v>
      </c>
      <c r="D73" s="5" t="s">
        <v>426</v>
      </c>
      <c r="E73" s="5" t="s">
        <v>427</v>
      </c>
      <c r="F73" s="5" t="s">
        <v>378</v>
      </c>
      <c r="G73" s="5" t="s">
        <v>428</v>
      </c>
      <c r="H73" s="5" t="s">
        <v>428</v>
      </c>
      <c r="I73" s="5" t="s">
        <v>429</v>
      </c>
      <c r="J73" s="5"/>
      <c r="K73" s="12">
        <f>COUNTIF(LeetCode!$A$5:$A$400,A73)</f>
        <v>4</v>
      </c>
      <c r="L73" s="12">
        <f>COUNTIFS(LeetCode!$A$5:$A$400,A73,LeetCode!$H$5:$H$400,"Xong")</f>
        <v>0</v>
      </c>
      <c r="M73" s="7"/>
      <c r="N73" s="7"/>
      <c r="O73" s="7"/>
      <c r="P73" s="12" t="str">
        <f t="shared" ca="1" si="2"/>
        <v>Chưa bắt đầu</v>
      </c>
      <c r="Q73" s="11">
        <v>3</v>
      </c>
      <c r="R73" s="10" t="str">
        <f>IF(NhatKy!D73="","",NhatKy!D73)</f>
        <v/>
      </c>
      <c r="S73" s="8"/>
    </row>
    <row r="74" spans="1:19">
      <c r="A74" s="12">
        <v>70</v>
      </c>
      <c r="B74" s="13">
        <f>Dashboard!$B$4+A74-1</f>
        <v>46369</v>
      </c>
      <c r="C74" s="19" t="s">
        <v>25</v>
      </c>
      <c r="D74" s="5" t="s">
        <v>430</v>
      </c>
      <c r="E74" s="5" t="s">
        <v>431</v>
      </c>
      <c r="F74" s="5" t="s">
        <v>378</v>
      </c>
      <c r="G74" s="5" t="s">
        <v>432</v>
      </c>
      <c r="H74" s="5" t="s">
        <v>432</v>
      </c>
      <c r="I74" s="5" t="s">
        <v>433</v>
      </c>
      <c r="J74" s="5"/>
      <c r="K74" s="12">
        <f>COUNTIF(LeetCode!$A$5:$A$400,A74)</f>
        <v>4</v>
      </c>
      <c r="L74" s="12">
        <f>COUNTIFS(LeetCode!$A$5:$A$400,A74,LeetCode!$H$5:$H$400,"Xong")</f>
        <v>0</v>
      </c>
      <c r="M74" s="7"/>
      <c r="N74" s="7"/>
      <c r="O74" s="7"/>
      <c r="P74" s="12" t="str">
        <f t="shared" ca="1" si="2"/>
        <v>Chưa bắt đầu</v>
      </c>
      <c r="Q74" s="11">
        <v>3</v>
      </c>
      <c r="R74" s="10" t="str">
        <f>IF(NhatKy!D74="","",NhatKy!D74)</f>
        <v/>
      </c>
      <c r="S74" s="8"/>
    </row>
    <row r="75" spans="1:19">
      <c r="A75" s="12">
        <v>71</v>
      </c>
      <c r="B75" s="13">
        <f>Dashboard!$B$4+A75-1</f>
        <v>46370</v>
      </c>
      <c r="C75" s="19" t="s">
        <v>25</v>
      </c>
      <c r="D75" s="5" t="s">
        <v>434</v>
      </c>
      <c r="E75" s="5" t="s">
        <v>435</v>
      </c>
      <c r="F75" s="5" t="s">
        <v>378</v>
      </c>
      <c r="G75" s="5" t="s">
        <v>436</v>
      </c>
      <c r="H75" s="5" t="s">
        <v>436</v>
      </c>
      <c r="I75" s="5" t="s">
        <v>437</v>
      </c>
      <c r="J75" s="5"/>
      <c r="K75" s="12">
        <f>COUNTIF(LeetCode!$A$5:$A$400,A75)</f>
        <v>3</v>
      </c>
      <c r="L75" s="12">
        <f>COUNTIFS(LeetCode!$A$5:$A$400,A75,LeetCode!$H$5:$H$400,"Xong")</f>
        <v>0</v>
      </c>
      <c r="M75" s="7"/>
      <c r="N75" s="7"/>
      <c r="O75" s="7"/>
      <c r="P75" s="12" t="str">
        <f t="shared" ca="1" si="2"/>
        <v>Chưa bắt đầu</v>
      </c>
      <c r="Q75" s="11">
        <v>3</v>
      </c>
      <c r="R75" s="10" t="str">
        <f>IF(NhatKy!D75="","",NhatKy!D75)</f>
        <v/>
      </c>
      <c r="S75" s="8"/>
    </row>
    <row r="76" spans="1:19">
      <c r="A76" s="12">
        <v>72</v>
      </c>
      <c r="B76" s="13">
        <f>Dashboard!$B$4+A76-1</f>
        <v>46371</v>
      </c>
      <c r="C76" s="19" t="s">
        <v>25</v>
      </c>
      <c r="D76" s="5" t="s">
        <v>438</v>
      </c>
      <c r="E76" s="5" t="s">
        <v>439</v>
      </c>
      <c r="F76" s="5" t="s">
        <v>378</v>
      </c>
      <c r="G76" s="5" t="s">
        <v>440</v>
      </c>
      <c r="H76" s="5" t="s">
        <v>440</v>
      </c>
      <c r="I76" s="5" t="s">
        <v>441</v>
      </c>
      <c r="J76" s="5"/>
      <c r="K76" s="12">
        <f>COUNTIF(LeetCode!$A$5:$A$400,A76)</f>
        <v>3</v>
      </c>
      <c r="L76" s="12">
        <f>COUNTIFS(LeetCode!$A$5:$A$400,A76,LeetCode!$H$5:$H$400,"Xong")</f>
        <v>0</v>
      </c>
      <c r="M76" s="7"/>
      <c r="N76" s="7"/>
      <c r="O76" s="7"/>
      <c r="P76" s="12" t="str">
        <f t="shared" ca="1" si="2"/>
        <v>Chưa bắt đầu</v>
      </c>
      <c r="Q76" s="11">
        <v>3</v>
      </c>
      <c r="R76" s="10" t="str">
        <f>IF(NhatKy!D76="","",NhatKy!D76)</f>
        <v/>
      </c>
      <c r="S76" s="8"/>
    </row>
    <row r="77" spans="1:19" ht="25.5">
      <c r="A77" s="12">
        <v>73</v>
      </c>
      <c r="B77" s="13">
        <f>Dashboard!$B$4+A77-1</f>
        <v>46372</v>
      </c>
      <c r="C77" s="19" t="s">
        <v>25</v>
      </c>
      <c r="D77" s="5" t="s">
        <v>442</v>
      </c>
      <c r="E77" s="5" t="s">
        <v>443</v>
      </c>
      <c r="F77" s="5" t="s">
        <v>378</v>
      </c>
      <c r="G77" s="5" t="s">
        <v>444</v>
      </c>
      <c r="H77" s="5" t="s">
        <v>444</v>
      </c>
      <c r="I77" s="5" t="s">
        <v>445</v>
      </c>
      <c r="J77" s="5" t="s">
        <v>446</v>
      </c>
      <c r="K77" s="12">
        <f>COUNTIF(LeetCode!$A$5:$A$400,A77)</f>
        <v>3</v>
      </c>
      <c r="L77" s="12">
        <f>COUNTIFS(LeetCode!$A$5:$A$400,A77,LeetCode!$H$5:$H$400,"Xong")</f>
        <v>0</v>
      </c>
      <c r="M77" s="7"/>
      <c r="N77" s="7"/>
      <c r="O77" s="7"/>
      <c r="P77" s="12" t="str">
        <f t="shared" ca="1" si="2"/>
        <v>Chưa bắt đầu</v>
      </c>
      <c r="Q77" s="11">
        <v>3</v>
      </c>
      <c r="R77" s="10" t="str">
        <f>IF(NhatKy!D77="","",NhatKy!D77)</f>
        <v/>
      </c>
      <c r="S77" s="8"/>
    </row>
    <row r="78" spans="1:19">
      <c r="A78" s="12">
        <v>74</v>
      </c>
      <c r="B78" s="13">
        <f>Dashboard!$B$4+A78-1</f>
        <v>46373</v>
      </c>
      <c r="C78" s="20" t="s">
        <v>26</v>
      </c>
      <c r="D78" s="5" t="s">
        <v>447</v>
      </c>
      <c r="E78" s="5" t="s">
        <v>448</v>
      </c>
      <c r="F78" s="5" t="s">
        <v>449</v>
      </c>
      <c r="G78" s="5" t="s">
        <v>450</v>
      </c>
      <c r="H78" s="5" t="s">
        <v>451</v>
      </c>
      <c r="I78" s="5" t="s">
        <v>452</v>
      </c>
      <c r="J78" s="5"/>
      <c r="K78" s="12">
        <f>COUNTIF(LeetCode!$A$5:$A$400,A78)</f>
        <v>4</v>
      </c>
      <c r="L78" s="12">
        <f>COUNTIFS(LeetCode!$A$5:$A$400,A78,LeetCode!$H$5:$H$400,"Xong")</f>
        <v>0</v>
      </c>
      <c r="M78" s="7"/>
      <c r="N78" s="7"/>
      <c r="O78" s="7"/>
      <c r="P78" s="12" t="str">
        <f t="shared" ca="1" si="2"/>
        <v>Chưa bắt đầu</v>
      </c>
      <c r="Q78" s="11">
        <v>3</v>
      </c>
      <c r="R78" s="10" t="str">
        <f>IF(NhatKy!D78="","",NhatKy!D78)</f>
        <v/>
      </c>
      <c r="S78" s="8"/>
    </row>
    <row r="79" spans="1:19">
      <c r="A79" s="12">
        <v>75</v>
      </c>
      <c r="B79" s="13">
        <f>Dashboard!$B$4+A79-1</f>
        <v>46374</v>
      </c>
      <c r="C79" s="20" t="s">
        <v>26</v>
      </c>
      <c r="D79" s="5" t="s">
        <v>453</v>
      </c>
      <c r="E79" s="5" t="s">
        <v>454</v>
      </c>
      <c r="F79" s="5" t="s">
        <v>449</v>
      </c>
      <c r="G79" s="5" t="s">
        <v>455</v>
      </c>
      <c r="H79" s="5" t="s">
        <v>456</v>
      </c>
      <c r="I79" s="5" t="s">
        <v>457</v>
      </c>
      <c r="J79" s="5"/>
      <c r="K79" s="12">
        <f>COUNTIF(LeetCode!$A$5:$A$400,A79)</f>
        <v>4</v>
      </c>
      <c r="L79" s="12">
        <f>COUNTIFS(LeetCode!$A$5:$A$400,A79,LeetCode!$H$5:$H$400,"Xong")</f>
        <v>0</v>
      </c>
      <c r="M79" s="7"/>
      <c r="N79" s="7"/>
      <c r="O79" s="7"/>
      <c r="P79" s="12" t="str">
        <f t="shared" ca="1" si="2"/>
        <v>Chưa bắt đầu</v>
      </c>
      <c r="Q79" s="11">
        <v>3</v>
      </c>
      <c r="R79" s="10" t="str">
        <f>IF(NhatKy!D79="","",NhatKy!D79)</f>
        <v/>
      </c>
      <c r="S79" s="8"/>
    </row>
    <row r="80" spans="1:19" ht="25.5">
      <c r="A80" s="12">
        <v>76</v>
      </c>
      <c r="B80" s="13">
        <f>Dashboard!$B$4+A80-1</f>
        <v>46375</v>
      </c>
      <c r="C80" s="20" t="s">
        <v>26</v>
      </c>
      <c r="D80" s="5" t="s">
        <v>458</v>
      </c>
      <c r="E80" s="5" t="s">
        <v>459</v>
      </c>
      <c r="F80" s="5" t="s">
        <v>449</v>
      </c>
      <c r="G80" s="5" t="s">
        <v>460</v>
      </c>
      <c r="H80" s="5" t="s">
        <v>461</v>
      </c>
      <c r="I80" s="5" t="s">
        <v>462</v>
      </c>
      <c r="J80" s="5"/>
      <c r="K80" s="12">
        <f>COUNTIF(LeetCode!$A$5:$A$400,A80)</f>
        <v>4</v>
      </c>
      <c r="L80" s="12">
        <f>COUNTIFS(LeetCode!$A$5:$A$400,A80,LeetCode!$H$5:$H$400,"Xong")</f>
        <v>0</v>
      </c>
      <c r="M80" s="7"/>
      <c r="N80" s="7"/>
      <c r="O80" s="7"/>
      <c r="P80" s="12" t="str">
        <f t="shared" ca="1" si="2"/>
        <v>Chưa bắt đầu</v>
      </c>
      <c r="Q80" s="11">
        <v>3</v>
      </c>
      <c r="R80" s="10" t="str">
        <f>IF(NhatKy!D80="","",NhatKy!D80)</f>
        <v/>
      </c>
      <c r="S80" s="8"/>
    </row>
    <row r="81" spans="1:19">
      <c r="A81" s="12">
        <v>77</v>
      </c>
      <c r="B81" s="13">
        <f>Dashboard!$B$4+A81-1</f>
        <v>46376</v>
      </c>
      <c r="C81" s="20" t="s">
        <v>26</v>
      </c>
      <c r="D81" s="5" t="s">
        <v>463</v>
      </c>
      <c r="E81" s="5" t="s">
        <v>464</v>
      </c>
      <c r="F81" s="5" t="s">
        <v>449</v>
      </c>
      <c r="G81" s="5" t="s">
        <v>465</v>
      </c>
      <c r="H81" s="5" t="s">
        <v>466</v>
      </c>
      <c r="I81" s="5" t="s">
        <v>467</v>
      </c>
      <c r="J81" s="5"/>
      <c r="K81" s="12">
        <f>COUNTIF(LeetCode!$A$5:$A$400,A81)</f>
        <v>4</v>
      </c>
      <c r="L81" s="12">
        <f>COUNTIFS(LeetCode!$A$5:$A$400,A81,LeetCode!$H$5:$H$400,"Xong")</f>
        <v>0</v>
      </c>
      <c r="M81" s="7"/>
      <c r="N81" s="7"/>
      <c r="O81" s="7"/>
      <c r="P81" s="12" t="str">
        <f t="shared" ca="1" si="2"/>
        <v>Chưa bắt đầu</v>
      </c>
      <c r="Q81" s="11">
        <v>3</v>
      </c>
      <c r="R81" s="10" t="str">
        <f>IF(NhatKy!D81="","",NhatKy!D81)</f>
        <v/>
      </c>
      <c r="S81" s="8"/>
    </row>
    <row r="82" spans="1:19">
      <c r="A82" s="12">
        <v>78</v>
      </c>
      <c r="B82" s="13">
        <f>Dashboard!$B$4+A82-1</f>
        <v>46377</v>
      </c>
      <c r="C82" s="20" t="s">
        <v>26</v>
      </c>
      <c r="D82" s="5" t="s">
        <v>468</v>
      </c>
      <c r="E82" s="5" t="s">
        <v>469</v>
      </c>
      <c r="F82" s="5" t="s">
        <v>449</v>
      </c>
      <c r="G82" s="5" t="s">
        <v>470</v>
      </c>
      <c r="H82" s="5" t="s">
        <v>470</v>
      </c>
      <c r="I82" s="5" t="s">
        <v>471</v>
      </c>
      <c r="J82" s="5"/>
      <c r="K82" s="12">
        <f>COUNTIF(LeetCode!$A$5:$A$400,A82)</f>
        <v>3</v>
      </c>
      <c r="L82" s="12">
        <f>COUNTIFS(LeetCode!$A$5:$A$400,A82,LeetCode!$H$5:$H$400,"Xong")</f>
        <v>0</v>
      </c>
      <c r="M82" s="7"/>
      <c r="N82" s="7"/>
      <c r="O82" s="7"/>
      <c r="P82" s="12" t="str">
        <f t="shared" ca="1" si="2"/>
        <v>Chưa bắt đầu</v>
      </c>
      <c r="Q82" s="11">
        <v>3</v>
      </c>
      <c r="R82" s="10" t="str">
        <f>IF(NhatKy!D82="","",NhatKy!D82)</f>
        <v/>
      </c>
      <c r="S82" s="8"/>
    </row>
    <row r="83" spans="1:19">
      <c r="A83" s="12">
        <v>79</v>
      </c>
      <c r="B83" s="13">
        <f>Dashboard!$B$4+A83-1</f>
        <v>46378</v>
      </c>
      <c r="C83" s="20" t="s">
        <v>26</v>
      </c>
      <c r="D83" s="5" t="s">
        <v>472</v>
      </c>
      <c r="E83" s="5" t="s">
        <v>473</v>
      </c>
      <c r="F83" s="5" t="s">
        <v>449</v>
      </c>
      <c r="G83" s="5" t="s">
        <v>474</v>
      </c>
      <c r="H83" s="5" t="s">
        <v>475</v>
      </c>
      <c r="I83" s="5" t="s">
        <v>476</v>
      </c>
      <c r="J83" s="5"/>
      <c r="K83" s="12">
        <f>COUNTIF(LeetCode!$A$5:$A$400,A83)</f>
        <v>3</v>
      </c>
      <c r="L83" s="12">
        <f>COUNTIFS(LeetCode!$A$5:$A$400,A83,LeetCode!$H$5:$H$400,"Xong")</f>
        <v>0</v>
      </c>
      <c r="M83" s="7"/>
      <c r="N83" s="7"/>
      <c r="O83" s="7"/>
      <c r="P83" s="12" t="str">
        <f t="shared" ca="1" si="2"/>
        <v>Chưa bắt đầu</v>
      </c>
      <c r="Q83" s="11">
        <v>3</v>
      </c>
      <c r="R83" s="10" t="str">
        <f>IF(NhatKy!D83="","",NhatKy!D83)</f>
        <v/>
      </c>
      <c r="S83" s="8"/>
    </row>
    <row r="84" spans="1:19">
      <c r="A84" s="12">
        <v>80</v>
      </c>
      <c r="B84" s="13">
        <f>Dashboard!$B$4+A84-1</f>
        <v>46379</v>
      </c>
      <c r="C84" s="20" t="s">
        <v>26</v>
      </c>
      <c r="D84" s="5" t="s">
        <v>477</v>
      </c>
      <c r="E84" s="5" t="s">
        <v>478</v>
      </c>
      <c r="F84" s="5" t="s">
        <v>449</v>
      </c>
      <c r="G84" s="5" t="s">
        <v>479</v>
      </c>
      <c r="H84" s="5" t="s">
        <v>480</v>
      </c>
      <c r="I84" s="5" t="s">
        <v>481</v>
      </c>
      <c r="J84" s="5"/>
      <c r="K84" s="12">
        <f>COUNTIF(LeetCode!$A$5:$A$400,A84)</f>
        <v>4</v>
      </c>
      <c r="L84" s="12">
        <f>COUNTIFS(LeetCode!$A$5:$A$400,A84,LeetCode!$H$5:$H$400,"Xong")</f>
        <v>0</v>
      </c>
      <c r="M84" s="7"/>
      <c r="N84" s="7"/>
      <c r="O84" s="7"/>
      <c r="P84" s="12" t="str">
        <f t="shared" ca="1" si="2"/>
        <v>Chưa bắt đầu</v>
      </c>
      <c r="Q84" s="11">
        <v>3</v>
      </c>
      <c r="R84" s="10" t="str">
        <f>IF(NhatKy!D84="","",NhatKy!D84)</f>
        <v/>
      </c>
      <c r="S84" s="8"/>
    </row>
    <row r="85" spans="1:19">
      <c r="A85" s="12">
        <v>81</v>
      </c>
      <c r="B85" s="13">
        <f>Dashboard!$B$4+A85-1</f>
        <v>46380</v>
      </c>
      <c r="C85" s="20" t="s">
        <v>26</v>
      </c>
      <c r="D85" s="5" t="s">
        <v>482</v>
      </c>
      <c r="E85" s="5" t="s">
        <v>483</v>
      </c>
      <c r="F85" s="5" t="s">
        <v>449</v>
      </c>
      <c r="G85" s="5" t="s">
        <v>484</v>
      </c>
      <c r="H85" s="5" t="s">
        <v>485</v>
      </c>
      <c r="I85" s="5" t="s">
        <v>486</v>
      </c>
      <c r="J85" s="5"/>
      <c r="K85" s="12">
        <f>COUNTIF(LeetCode!$A$5:$A$400,A85)</f>
        <v>3</v>
      </c>
      <c r="L85" s="12">
        <f>COUNTIFS(LeetCode!$A$5:$A$400,A85,LeetCode!$H$5:$H$400,"Xong")</f>
        <v>0</v>
      </c>
      <c r="M85" s="7"/>
      <c r="N85" s="7"/>
      <c r="O85" s="7"/>
      <c r="P85" s="12" t="str">
        <f t="shared" ca="1" si="2"/>
        <v>Chưa bắt đầu</v>
      </c>
      <c r="Q85" s="11">
        <v>3</v>
      </c>
      <c r="R85" s="10" t="str">
        <f>IF(NhatKy!D85="","",NhatKy!D85)</f>
        <v/>
      </c>
      <c r="S85" s="8"/>
    </row>
    <row r="86" spans="1:19" ht="25.5">
      <c r="A86" s="12">
        <v>82</v>
      </c>
      <c r="B86" s="13">
        <f>Dashboard!$B$4+A86-1</f>
        <v>46381</v>
      </c>
      <c r="C86" s="20" t="s">
        <v>26</v>
      </c>
      <c r="D86" s="5" t="s">
        <v>487</v>
      </c>
      <c r="E86" s="5" t="s">
        <v>488</v>
      </c>
      <c r="F86" s="5" t="s">
        <v>489</v>
      </c>
      <c r="G86" s="5" t="s">
        <v>490</v>
      </c>
      <c r="H86" s="5" t="s">
        <v>491</v>
      </c>
      <c r="I86" s="5" t="s">
        <v>492</v>
      </c>
      <c r="J86" s="5"/>
      <c r="K86" s="12">
        <f>COUNTIF(LeetCode!$A$5:$A$400,A86)</f>
        <v>3</v>
      </c>
      <c r="L86" s="12">
        <f>COUNTIFS(LeetCode!$A$5:$A$400,A86,LeetCode!$H$5:$H$400,"Xong")</f>
        <v>0</v>
      </c>
      <c r="M86" s="7"/>
      <c r="N86" s="7"/>
      <c r="O86" s="7"/>
      <c r="P86" s="12" t="str">
        <f t="shared" ca="1" si="2"/>
        <v>Chưa bắt đầu</v>
      </c>
      <c r="Q86" s="11">
        <v>3</v>
      </c>
      <c r="R86" s="10" t="str">
        <f>IF(NhatKy!D86="","",NhatKy!D86)</f>
        <v/>
      </c>
      <c r="S86" s="8"/>
    </row>
    <row r="87" spans="1:19" ht="25.5">
      <c r="A87" s="12">
        <v>83</v>
      </c>
      <c r="B87" s="13">
        <f>Dashboard!$B$4+A87-1</f>
        <v>46382</v>
      </c>
      <c r="C87" s="20" t="s">
        <v>26</v>
      </c>
      <c r="D87" s="5" t="s">
        <v>493</v>
      </c>
      <c r="E87" s="5" t="s">
        <v>494</v>
      </c>
      <c r="F87" s="5" t="s">
        <v>489</v>
      </c>
      <c r="G87" s="5" t="s">
        <v>495</v>
      </c>
      <c r="H87" s="5" t="s">
        <v>496</v>
      </c>
      <c r="I87" s="5" t="s">
        <v>497</v>
      </c>
      <c r="J87" s="5" t="s">
        <v>498</v>
      </c>
      <c r="K87" s="12">
        <f>COUNTIF(LeetCode!$A$5:$A$400,A87)</f>
        <v>4</v>
      </c>
      <c r="L87" s="12">
        <f>COUNTIFS(LeetCode!$A$5:$A$400,A87,LeetCode!$H$5:$H$400,"Xong")</f>
        <v>0</v>
      </c>
      <c r="M87" s="7"/>
      <c r="N87" s="7"/>
      <c r="O87" s="7"/>
      <c r="P87" s="12" t="str">
        <f t="shared" ca="1" si="2"/>
        <v>Chưa bắt đầu</v>
      </c>
      <c r="Q87" s="11">
        <v>3</v>
      </c>
      <c r="R87" s="10" t="str">
        <f>IF(NhatKy!D87="","",NhatKy!D87)</f>
        <v/>
      </c>
      <c r="S87" s="8"/>
    </row>
    <row r="88" spans="1:19" ht="25.5">
      <c r="A88" s="12">
        <v>84</v>
      </c>
      <c r="B88" s="13">
        <f>Dashboard!$B$4+A88-1</f>
        <v>46383</v>
      </c>
      <c r="C88" s="20" t="s">
        <v>26</v>
      </c>
      <c r="D88" s="5" t="s">
        <v>499</v>
      </c>
      <c r="E88" s="5" t="s">
        <v>500</v>
      </c>
      <c r="F88" s="5" t="s">
        <v>489</v>
      </c>
      <c r="G88" s="5" t="s">
        <v>501</v>
      </c>
      <c r="H88" s="5" t="s">
        <v>501</v>
      </c>
      <c r="I88" s="5" t="s">
        <v>502</v>
      </c>
      <c r="J88" s="5"/>
      <c r="K88" s="12">
        <f>COUNTIF(LeetCode!$A$5:$A$400,A88)</f>
        <v>4</v>
      </c>
      <c r="L88" s="12">
        <f>COUNTIFS(LeetCode!$A$5:$A$400,A88,LeetCode!$H$5:$H$400,"Xong")</f>
        <v>0</v>
      </c>
      <c r="M88" s="7"/>
      <c r="N88" s="7"/>
      <c r="O88" s="7"/>
      <c r="P88" s="12" t="str">
        <f t="shared" ca="1" si="2"/>
        <v>Chưa bắt đầu</v>
      </c>
      <c r="Q88" s="11">
        <v>3</v>
      </c>
      <c r="R88" s="10" t="str">
        <f>IF(NhatKy!D88="","",NhatKy!D88)</f>
        <v/>
      </c>
      <c r="S88" s="8"/>
    </row>
    <row r="89" spans="1:19" ht="25.5">
      <c r="A89" s="12">
        <v>85</v>
      </c>
      <c r="B89" s="13">
        <f>Dashboard!$B$4+A89-1</f>
        <v>46384</v>
      </c>
      <c r="C89" s="20" t="s">
        <v>26</v>
      </c>
      <c r="D89" s="5" t="s">
        <v>503</v>
      </c>
      <c r="E89" s="5" t="s">
        <v>504</v>
      </c>
      <c r="F89" s="5" t="s">
        <v>489</v>
      </c>
      <c r="G89" s="5" t="s">
        <v>209</v>
      </c>
      <c r="H89" s="5" t="s">
        <v>209</v>
      </c>
      <c r="I89" s="5" t="s">
        <v>505</v>
      </c>
      <c r="J89" s="5"/>
      <c r="K89" s="12">
        <f>COUNTIF(LeetCode!$A$5:$A$400,A89)</f>
        <v>4</v>
      </c>
      <c r="L89" s="12">
        <f>COUNTIFS(LeetCode!$A$5:$A$400,A89,LeetCode!$H$5:$H$400,"Xong")</f>
        <v>0</v>
      </c>
      <c r="M89" s="7"/>
      <c r="N89" s="7"/>
      <c r="O89" s="7"/>
      <c r="P89" s="12" t="str">
        <f t="shared" ca="1" si="2"/>
        <v>Chưa bắt đầu</v>
      </c>
      <c r="Q89" s="11">
        <v>3</v>
      </c>
      <c r="R89" s="10" t="str">
        <f>IF(NhatKy!D89="","",NhatKy!D89)</f>
        <v/>
      </c>
      <c r="S89" s="8"/>
    </row>
    <row r="90" spans="1:19" ht="25.5">
      <c r="A90" s="12">
        <v>86</v>
      </c>
      <c r="B90" s="13">
        <f>Dashboard!$B$4+A90-1</f>
        <v>46385</v>
      </c>
      <c r="C90" s="20" t="s">
        <v>26</v>
      </c>
      <c r="D90" s="5" t="s">
        <v>506</v>
      </c>
      <c r="E90" s="5" t="s">
        <v>507</v>
      </c>
      <c r="F90" s="5" t="s">
        <v>489</v>
      </c>
      <c r="G90" s="5" t="s">
        <v>508</v>
      </c>
      <c r="H90" s="5" t="s">
        <v>509</v>
      </c>
      <c r="I90" s="5" t="s">
        <v>510</v>
      </c>
      <c r="J90" s="5"/>
      <c r="K90" s="12">
        <f>COUNTIF(LeetCode!$A$5:$A$400,A90)</f>
        <v>3</v>
      </c>
      <c r="L90" s="12">
        <f>COUNTIFS(LeetCode!$A$5:$A$400,A90,LeetCode!$H$5:$H$400,"Xong")</f>
        <v>0</v>
      </c>
      <c r="M90" s="7"/>
      <c r="N90" s="7"/>
      <c r="O90" s="7"/>
      <c r="P90" s="12" t="str">
        <f t="shared" ca="1" si="2"/>
        <v>Chưa bắt đầu</v>
      </c>
      <c r="Q90" s="11">
        <v>3</v>
      </c>
      <c r="R90" s="10" t="str">
        <f>IF(NhatKy!D90="","",NhatKy!D90)</f>
        <v/>
      </c>
      <c r="S90" s="8"/>
    </row>
    <row r="91" spans="1:19" ht="25.5">
      <c r="A91" s="12">
        <v>87</v>
      </c>
      <c r="B91" s="13">
        <f>Dashboard!$B$4+A91-1</f>
        <v>46386</v>
      </c>
      <c r="C91" s="21" t="s">
        <v>28</v>
      </c>
      <c r="D91" s="5" t="s">
        <v>511</v>
      </c>
      <c r="E91" s="5" t="s">
        <v>512</v>
      </c>
      <c r="F91" s="5" t="s">
        <v>513</v>
      </c>
      <c r="G91" s="5" t="s">
        <v>514</v>
      </c>
      <c r="H91" s="5" t="s">
        <v>515</v>
      </c>
      <c r="I91" s="5"/>
      <c r="J91" s="5" t="s">
        <v>516</v>
      </c>
      <c r="K91" s="12">
        <f>COUNTIF(LeetCode!$A$5:$A$400,A91)</f>
        <v>0</v>
      </c>
      <c r="L91" s="12">
        <f>COUNTIFS(LeetCode!$A$5:$A$400,A91,LeetCode!$H$5:$H$400,"Xong")</f>
        <v>0</v>
      </c>
      <c r="M91" s="7"/>
      <c r="N91" s="7"/>
      <c r="O91" s="7"/>
      <c r="P91" s="12" t="str">
        <f t="shared" ca="1" si="2"/>
        <v>Chưa bắt đầu</v>
      </c>
      <c r="Q91" s="11">
        <v>3</v>
      </c>
      <c r="R91" s="10" t="str">
        <f>IF(NhatKy!D91="","",NhatKy!D91)</f>
        <v/>
      </c>
      <c r="S91" s="8"/>
    </row>
    <row r="92" spans="1:19" ht="25.5">
      <c r="A92" s="12">
        <v>88</v>
      </c>
      <c r="B92" s="13">
        <f>Dashboard!$B$4+A92-1</f>
        <v>46387</v>
      </c>
      <c r="C92" s="21" t="s">
        <v>28</v>
      </c>
      <c r="D92" s="5" t="s">
        <v>517</v>
      </c>
      <c r="E92" s="5" t="s">
        <v>518</v>
      </c>
      <c r="F92" s="5" t="s">
        <v>513</v>
      </c>
      <c r="G92" s="5" t="s">
        <v>519</v>
      </c>
      <c r="H92" s="5" t="s">
        <v>520</v>
      </c>
      <c r="I92" s="5" t="s">
        <v>521</v>
      </c>
      <c r="J92" s="5" t="s">
        <v>522</v>
      </c>
      <c r="K92" s="12">
        <f>COUNTIF(LeetCode!$A$5:$A$400,A92)</f>
        <v>1</v>
      </c>
      <c r="L92" s="12">
        <f>COUNTIFS(LeetCode!$A$5:$A$400,A92,LeetCode!$H$5:$H$400,"Xong")</f>
        <v>0</v>
      </c>
      <c r="M92" s="7"/>
      <c r="N92" s="7"/>
      <c r="O92" s="7"/>
      <c r="P92" s="12" t="str">
        <f t="shared" ca="1" si="2"/>
        <v>Chưa bắt đầu</v>
      </c>
      <c r="Q92" s="11">
        <v>3</v>
      </c>
      <c r="R92" s="10" t="str">
        <f>IF(NhatKy!D92="","",NhatKy!D92)</f>
        <v/>
      </c>
      <c r="S92" s="8"/>
    </row>
    <row r="93" spans="1:19" ht="25.5">
      <c r="A93" s="12">
        <v>89</v>
      </c>
      <c r="B93" s="13">
        <f>Dashboard!$B$4+A93-1</f>
        <v>46388</v>
      </c>
      <c r="C93" s="21" t="s">
        <v>28</v>
      </c>
      <c r="D93" s="5" t="s">
        <v>523</v>
      </c>
      <c r="E93" s="5" t="s">
        <v>524</v>
      </c>
      <c r="F93" s="5" t="s">
        <v>513</v>
      </c>
      <c r="G93" s="5" t="s">
        <v>525</v>
      </c>
      <c r="H93" s="5" t="s">
        <v>525</v>
      </c>
      <c r="I93" s="5" t="s">
        <v>526</v>
      </c>
      <c r="J93" s="5"/>
      <c r="K93" s="12">
        <f>COUNTIF(LeetCode!$A$5:$A$400,A93)</f>
        <v>2</v>
      </c>
      <c r="L93" s="12">
        <f>COUNTIFS(LeetCode!$A$5:$A$400,A93,LeetCode!$H$5:$H$400,"Xong")</f>
        <v>0</v>
      </c>
      <c r="M93" s="7"/>
      <c r="N93" s="7"/>
      <c r="O93" s="7"/>
      <c r="P93" s="12" t="str">
        <f t="shared" ca="1" si="2"/>
        <v>Chưa bắt đầu</v>
      </c>
      <c r="Q93" s="11">
        <v>3</v>
      </c>
      <c r="R93" s="10" t="str">
        <f>IF(NhatKy!D93="","",NhatKy!D93)</f>
        <v/>
      </c>
      <c r="S93" s="8"/>
    </row>
    <row r="94" spans="1:19" ht="25.5">
      <c r="A94" s="12">
        <v>90</v>
      </c>
      <c r="B94" s="13">
        <f>Dashboard!$B$4+A94-1</f>
        <v>46389</v>
      </c>
      <c r="C94" s="21" t="s">
        <v>28</v>
      </c>
      <c r="D94" s="5" t="s">
        <v>527</v>
      </c>
      <c r="E94" s="5" t="s">
        <v>528</v>
      </c>
      <c r="F94" s="5" t="s">
        <v>513</v>
      </c>
      <c r="G94" s="5" t="s">
        <v>529</v>
      </c>
      <c r="H94" s="5" t="s">
        <v>530</v>
      </c>
      <c r="I94" s="5" t="s">
        <v>531</v>
      </c>
      <c r="J94" s="5"/>
      <c r="K94" s="12">
        <f>COUNTIF(LeetCode!$A$5:$A$400,A94)</f>
        <v>2</v>
      </c>
      <c r="L94" s="12">
        <f>COUNTIFS(LeetCode!$A$5:$A$400,A94,LeetCode!$H$5:$H$400,"Xong")</f>
        <v>0</v>
      </c>
      <c r="M94" s="7"/>
      <c r="N94" s="7"/>
      <c r="O94" s="7"/>
      <c r="P94" s="12" t="str">
        <f t="shared" ca="1" si="2"/>
        <v>Chưa bắt đầu</v>
      </c>
      <c r="Q94" s="11">
        <v>3</v>
      </c>
      <c r="R94" s="10" t="str">
        <f>IF(NhatKy!D94="","",NhatKy!D94)</f>
        <v/>
      </c>
      <c r="S94" s="8"/>
    </row>
    <row r="95" spans="1:19" ht="25.5">
      <c r="A95" s="12">
        <v>91</v>
      </c>
      <c r="B95" s="13">
        <f>Dashboard!$B$4+A95-1</f>
        <v>46390</v>
      </c>
      <c r="C95" s="22" t="s">
        <v>30</v>
      </c>
      <c r="D95" s="5" t="s">
        <v>532</v>
      </c>
      <c r="E95" s="5" t="s">
        <v>533</v>
      </c>
      <c r="F95" s="5" t="s">
        <v>534</v>
      </c>
      <c r="G95" s="5" t="s">
        <v>535</v>
      </c>
      <c r="H95" s="5" t="s">
        <v>536</v>
      </c>
      <c r="I95" s="5" t="s">
        <v>537</v>
      </c>
      <c r="J95" s="5"/>
      <c r="K95" s="12">
        <f>COUNTIF(LeetCode!$A$5:$A$400,A95)</f>
        <v>4</v>
      </c>
      <c r="L95" s="12">
        <f>COUNTIFS(LeetCode!$A$5:$A$400,A95,LeetCode!$H$5:$H$400,"Xong")</f>
        <v>0</v>
      </c>
      <c r="M95" s="7"/>
      <c r="N95" s="7"/>
      <c r="O95" s="7"/>
      <c r="P95" s="12" t="str">
        <f t="shared" ca="1" si="2"/>
        <v>Chưa bắt đầu</v>
      </c>
      <c r="Q95" s="11">
        <v>3</v>
      </c>
      <c r="R95" s="10" t="str">
        <f>IF(NhatKy!D95="","",NhatKy!D95)</f>
        <v/>
      </c>
      <c r="S95" s="8"/>
    </row>
    <row r="96" spans="1:19" ht="25.5">
      <c r="A96" s="12">
        <v>92</v>
      </c>
      <c r="B96" s="13">
        <f>Dashboard!$B$4+A96-1</f>
        <v>46391</v>
      </c>
      <c r="C96" s="22" t="s">
        <v>30</v>
      </c>
      <c r="D96" s="5" t="s">
        <v>538</v>
      </c>
      <c r="E96" s="5" t="s">
        <v>539</v>
      </c>
      <c r="F96" s="5" t="s">
        <v>534</v>
      </c>
      <c r="G96" s="5" t="s">
        <v>540</v>
      </c>
      <c r="H96" s="5" t="s">
        <v>541</v>
      </c>
      <c r="I96" s="5" t="s">
        <v>542</v>
      </c>
      <c r="J96" s="5"/>
      <c r="K96" s="12">
        <f>COUNTIF(LeetCode!$A$5:$A$400,A96)</f>
        <v>4</v>
      </c>
      <c r="L96" s="12">
        <f>COUNTIFS(LeetCode!$A$5:$A$400,A96,LeetCode!$H$5:$H$400,"Xong")</f>
        <v>0</v>
      </c>
      <c r="M96" s="7"/>
      <c r="N96" s="7"/>
      <c r="O96" s="7"/>
      <c r="P96" s="12" t="str">
        <f t="shared" ca="1" si="2"/>
        <v>Chưa bắt đầu</v>
      </c>
      <c r="Q96" s="11">
        <v>3</v>
      </c>
      <c r="R96" s="10" t="str">
        <f>IF(NhatKy!D96="","",NhatKy!D96)</f>
        <v/>
      </c>
      <c r="S96" s="8"/>
    </row>
    <row r="97" spans="1:19" ht="25.5">
      <c r="A97" s="12">
        <v>93</v>
      </c>
      <c r="B97" s="13">
        <f>Dashboard!$B$4+A97-1</f>
        <v>46392</v>
      </c>
      <c r="C97" s="22" t="s">
        <v>30</v>
      </c>
      <c r="D97" s="5" t="s">
        <v>543</v>
      </c>
      <c r="E97" s="5" t="s">
        <v>544</v>
      </c>
      <c r="F97" s="5" t="s">
        <v>534</v>
      </c>
      <c r="G97" s="5" t="s">
        <v>545</v>
      </c>
      <c r="H97" s="5" t="s">
        <v>545</v>
      </c>
      <c r="I97" s="5" t="s">
        <v>546</v>
      </c>
      <c r="J97" s="5"/>
      <c r="K97" s="12">
        <f>COUNTIF(LeetCode!$A$5:$A$400,A97)</f>
        <v>2</v>
      </c>
      <c r="L97" s="12">
        <f>COUNTIFS(LeetCode!$A$5:$A$400,A97,LeetCode!$H$5:$H$400,"Xong")</f>
        <v>0</v>
      </c>
      <c r="M97" s="7"/>
      <c r="N97" s="7"/>
      <c r="O97" s="7"/>
      <c r="P97" s="12" t="str">
        <f t="shared" ca="1" si="2"/>
        <v>Chưa bắt đầu</v>
      </c>
      <c r="Q97" s="11">
        <v>3</v>
      </c>
      <c r="R97" s="10" t="str">
        <f>IF(NhatKy!D97="","",NhatKy!D97)</f>
        <v/>
      </c>
      <c r="S97" s="8"/>
    </row>
    <row r="98" spans="1:19" ht="25.5">
      <c r="A98" s="12">
        <v>94</v>
      </c>
      <c r="B98" s="13">
        <f>Dashboard!$B$4+A98-1</f>
        <v>46393</v>
      </c>
      <c r="C98" s="23" t="s">
        <v>32</v>
      </c>
      <c r="D98" s="5" t="s">
        <v>547</v>
      </c>
      <c r="E98" s="5" t="s">
        <v>548</v>
      </c>
      <c r="F98" s="5" t="s">
        <v>549</v>
      </c>
      <c r="G98" s="5" t="s">
        <v>550</v>
      </c>
      <c r="H98" s="5" t="s">
        <v>551</v>
      </c>
      <c r="I98" s="5" t="s">
        <v>552</v>
      </c>
      <c r="J98" s="5"/>
      <c r="K98" s="12">
        <f>COUNTIF(LeetCode!$A$5:$A$400,A98)</f>
        <v>4</v>
      </c>
      <c r="L98" s="12">
        <f>COUNTIFS(LeetCode!$A$5:$A$400,A98,LeetCode!$H$5:$H$400,"Xong")</f>
        <v>0</v>
      </c>
      <c r="M98" s="7"/>
      <c r="N98" s="7"/>
      <c r="O98" s="7"/>
      <c r="P98" s="12" t="str">
        <f t="shared" ca="1" si="2"/>
        <v>Chưa bắt đầu</v>
      </c>
      <c r="Q98" s="11">
        <v>3</v>
      </c>
      <c r="R98" s="10" t="str">
        <f>IF(NhatKy!D98="","",NhatKy!D98)</f>
        <v/>
      </c>
      <c r="S98" s="8"/>
    </row>
    <row r="99" spans="1:19">
      <c r="A99" s="12">
        <v>95</v>
      </c>
      <c r="B99" s="13">
        <f>Dashboard!$B$4+A99-1</f>
        <v>46394</v>
      </c>
      <c r="C99" s="23" t="s">
        <v>32</v>
      </c>
      <c r="D99" s="5" t="s">
        <v>553</v>
      </c>
      <c r="E99" s="5" t="s">
        <v>554</v>
      </c>
      <c r="F99" s="5" t="s">
        <v>549</v>
      </c>
      <c r="G99" s="5" t="s">
        <v>555</v>
      </c>
      <c r="H99" s="5" t="s">
        <v>556</v>
      </c>
      <c r="I99" s="5" t="s">
        <v>557</v>
      </c>
      <c r="J99" s="5"/>
      <c r="K99" s="12">
        <f>COUNTIF(LeetCode!$A$5:$A$400,A99)</f>
        <v>3</v>
      </c>
      <c r="L99" s="12">
        <f>COUNTIFS(LeetCode!$A$5:$A$400,A99,LeetCode!$H$5:$H$400,"Xong")</f>
        <v>0</v>
      </c>
      <c r="M99" s="7"/>
      <c r="N99" s="7"/>
      <c r="O99" s="7"/>
      <c r="P99" s="12" t="str">
        <f t="shared" ca="1" si="2"/>
        <v>Chưa bắt đầu</v>
      </c>
      <c r="Q99" s="11">
        <v>3</v>
      </c>
      <c r="R99" s="10" t="str">
        <f>IF(NhatKy!D99="","",NhatKy!D99)</f>
        <v/>
      </c>
      <c r="S99" s="8"/>
    </row>
    <row r="100" spans="1:19">
      <c r="A100" s="12">
        <v>96</v>
      </c>
      <c r="B100" s="13">
        <f>Dashboard!$B$4+A100-1</f>
        <v>46395</v>
      </c>
      <c r="C100" s="23" t="s">
        <v>32</v>
      </c>
      <c r="D100" s="5" t="s">
        <v>558</v>
      </c>
      <c r="E100" s="5" t="s">
        <v>559</v>
      </c>
      <c r="F100" s="5" t="s">
        <v>549</v>
      </c>
      <c r="G100" s="5" t="s">
        <v>560</v>
      </c>
      <c r="H100" s="5" t="s">
        <v>560</v>
      </c>
      <c r="I100" s="5" t="s">
        <v>561</v>
      </c>
      <c r="J100" s="5"/>
      <c r="K100" s="12">
        <f>COUNTIF(LeetCode!$A$5:$A$400,A100)</f>
        <v>2</v>
      </c>
      <c r="L100" s="12">
        <f>COUNTIFS(LeetCode!$A$5:$A$400,A100,LeetCode!$H$5:$H$400,"Xong")</f>
        <v>0</v>
      </c>
      <c r="M100" s="7"/>
      <c r="N100" s="7"/>
      <c r="O100" s="7"/>
      <c r="P100" s="12" t="str">
        <f t="shared" ca="1" si="2"/>
        <v>Chưa bắt đầu</v>
      </c>
      <c r="Q100" s="11">
        <v>3</v>
      </c>
      <c r="R100" s="10" t="str">
        <f>IF(NhatKy!D100="","",NhatKy!D100)</f>
        <v/>
      </c>
      <c r="S100" s="8"/>
    </row>
    <row r="101" spans="1:19" ht="25.5">
      <c r="A101" s="12">
        <v>97</v>
      </c>
      <c r="B101" s="13">
        <f>Dashboard!$B$4+A101-1</f>
        <v>46396</v>
      </c>
      <c r="C101" s="23" t="s">
        <v>32</v>
      </c>
      <c r="D101" s="5" t="s">
        <v>562</v>
      </c>
      <c r="E101" s="5" t="s">
        <v>563</v>
      </c>
      <c r="F101" s="5" t="s">
        <v>549</v>
      </c>
      <c r="G101" s="5" t="s">
        <v>564</v>
      </c>
      <c r="H101" s="5" t="s">
        <v>564</v>
      </c>
      <c r="I101" s="5" t="s">
        <v>565</v>
      </c>
      <c r="J101" s="5"/>
      <c r="K101" s="12">
        <f>COUNTIF(LeetCode!$A$5:$A$400,A101)</f>
        <v>2</v>
      </c>
      <c r="L101" s="12">
        <f>COUNTIFS(LeetCode!$A$5:$A$400,A101,LeetCode!$H$5:$H$400,"Xong")</f>
        <v>0</v>
      </c>
      <c r="M101" s="7"/>
      <c r="N101" s="7"/>
      <c r="O101" s="7"/>
      <c r="P101" s="12" t="str">
        <f t="shared" ref="P101:P132" ca="1" si="3">IF(AND(M101="✓",N101="✓",O101="✓",L101&gt;=K101),"Hoàn thành",IF(B101&lt;TODAY(),"Trễ hạn",IF(OR(M101="✓",N101="✓",O101="✓",L101&gt;0),"Đang học","Chưa bắt đầu")))</f>
        <v>Chưa bắt đầu</v>
      </c>
      <c r="Q101" s="11">
        <v>3</v>
      </c>
      <c r="R101" s="10" t="str">
        <f>IF(NhatKy!D101="","",NhatKy!D101)</f>
        <v/>
      </c>
      <c r="S101" s="8"/>
    </row>
    <row r="102" spans="1:19" ht="25.5">
      <c r="A102" s="12">
        <v>98</v>
      </c>
      <c r="B102" s="13">
        <f>Dashboard!$B$4+A102-1</f>
        <v>46397</v>
      </c>
      <c r="C102" s="24" t="s">
        <v>34</v>
      </c>
      <c r="D102" s="5" t="s">
        <v>566</v>
      </c>
      <c r="E102" s="5" t="s">
        <v>567</v>
      </c>
      <c r="F102" s="5" t="s">
        <v>568</v>
      </c>
      <c r="G102" s="5" t="s">
        <v>444</v>
      </c>
      <c r="H102" s="5" t="s">
        <v>444</v>
      </c>
      <c r="I102" s="5" t="s">
        <v>569</v>
      </c>
      <c r="J102" s="5" t="s">
        <v>570</v>
      </c>
      <c r="K102" s="12">
        <f>COUNTIF(LeetCode!$A$5:$A$400,A102)</f>
        <v>1</v>
      </c>
      <c r="L102" s="12">
        <f>COUNTIFS(LeetCode!$A$5:$A$400,A102,LeetCode!$H$5:$H$400,"Xong")</f>
        <v>0</v>
      </c>
      <c r="M102" s="7"/>
      <c r="N102" s="7"/>
      <c r="O102" s="7"/>
      <c r="P102" s="12" t="str">
        <f t="shared" ca="1" si="3"/>
        <v>Chưa bắt đầu</v>
      </c>
      <c r="Q102" s="11">
        <v>3</v>
      </c>
      <c r="R102" s="10" t="str">
        <f>IF(NhatKy!D102="","",NhatKy!D102)</f>
        <v/>
      </c>
      <c r="S102" s="8"/>
    </row>
    <row r="103" spans="1:19" ht="25.5">
      <c r="A103" s="12">
        <v>99</v>
      </c>
      <c r="B103" s="13">
        <f>Dashboard!$B$4+A103-1</f>
        <v>46398</v>
      </c>
      <c r="C103" s="24" t="s">
        <v>34</v>
      </c>
      <c r="D103" s="5" t="s">
        <v>571</v>
      </c>
      <c r="E103" s="5" t="s">
        <v>572</v>
      </c>
      <c r="F103" s="5" t="s">
        <v>568</v>
      </c>
      <c r="G103" s="5" t="s">
        <v>444</v>
      </c>
      <c r="H103" s="5" t="s">
        <v>444</v>
      </c>
      <c r="I103" s="5"/>
      <c r="J103" s="5" t="s">
        <v>573</v>
      </c>
      <c r="K103" s="12">
        <f>COUNTIF(LeetCode!$A$5:$A$400,A103)</f>
        <v>0</v>
      </c>
      <c r="L103" s="12">
        <f>COUNTIFS(LeetCode!$A$5:$A$400,A103,LeetCode!$H$5:$H$400,"Xong")</f>
        <v>0</v>
      </c>
      <c r="M103" s="7"/>
      <c r="N103" s="7"/>
      <c r="O103" s="7"/>
      <c r="P103" s="12" t="str">
        <f t="shared" ca="1" si="3"/>
        <v>Chưa bắt đầu</v>
      </c>
      <c r="Q103" s="11">
        <v>4</v>
      </c>
      <c r="R103" s="10" t="str">
        <f>IF(NhatKy!D103="","",NhatKy!D103)</f>
        <v/>
      </c>
      <c r="S103" s="8"/>
    </row>
    <row r="104" spans="1:19" ht="25.5">
      <c r="A104" s="12">
        <v>100</v>
      </c>
      <c r="B104" s="13">
        <f>Dashboard!$B$4+A104-1</f>
        <v>46399</v>
      </c>
      <c r="C104" s="24" t="s">
        <v>34</v>
      </c>
      <c r="D104" s="5" t="s">
        <v>574</v>
      </c>
      <c r="E104" s="5" t="s">
        <v>575</v>
      </c>
      <c r="F104" s="5" t="s">
        <v>568</v>
      </c>
      <c r="G104" s="5" t="s">
        <v>444</v>
      </c>
      <c r="H104" s="5" t="s">
        <v>444</v>
      </c>
      <c r="I104" s="5"/>
      <c r="J104" s="5" t="s">
        <v>576</v>
      </c>
      <c r="K104" s="12">
        <f>COUNTIF(LeetCode!$A$5:$A$400,A104)</f>
        <v>0</v>
      </c>
      <c r="L104" s="12">
        <f>COUNTIFS(LeetCode!$A$5:$A$400,A104,LeetCode!$H$5:$H$400,"Xong")</f>
        <v>0</v>
      </c>
      <c r="M104" s="7"/>
      <c r="N104" s="7"/>
      <c r="O104" s="7"/>
      <c r="P104" s="12" t="str">
        <f t="shared" ca="1" si="3"/>
        <v>Chưa bắt đầu</v>
      </c>
      <c r="Q104" s="11">
        <v>4</v>
      </c>
      <c r="R104" s="10" t="str">
        <f>IF(NhatKy!D104="","",NhatKy!D104)</f>
        <v/>
      </c>
      <c r="S104" s="8"/>
    </row>
  </sheetData>
  <mergeCells count="2">
    <mergeCell ref="A1:S1"/>
    <mergeCell ref="A2:S2"/>
  </mergeCells>
  <conditionalFormatting sqref="A5:B104">
    <cfRule type="expression" dxfId="2" priority="4">
      <formula>$B5=TODAY()</formula>
    </cfRule>
  </conditionalFormatting>
  <dataValidations count="1">
    <dataValidation type="list" sqref="M5:O104" xr:uid="{00000000-0002-0000-0100-000000000000}">
      <formula1>"✓"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2"/>
  <sheetViews>
    <sheetView tabSelected="1" workbookViewId="0">
      <selection activeCell="E6" sqref="E6"/>
    </sheetView>
  </sheetViews>
  <sheetFormatPr defaultRowHeight="14.25"/>
  <cols>
    <col min="1" max="1" width="6" customWidth="1"/>
    <col min="2" max="2" width="24" customWidth="1"/>
    <col min="3" max="3" width="36" customWidth="1"/>
    <col min="4" max="4" width="7" customWidth="1"/>
    <col min="5" max="5" width="52" customWidth="1"/>
    <col min="6" max="6" width="10" customWidth="1"/>
    <col min="7" max="7" width="44" customWidth="1"/>
    <col min="8" max="8" width="12" customWidth="1"/>
    <col min="9" max="10" width="8" customWidth="1"/>
    <col min="11" max="11" width="12" customWidth="1"/>
    <col min="12" max="12" width="9" customWidth="1"/>
    <col min="13" max="13" width="34" customWidth="1"/>
    <col min="14" max="16" width="11" customWidth="1"/>
    <col min="17" max="17" width="14" customWidth="1"/>
  </cols>
  <sheetData>
    <row r="1" spans="1:17" ht="18">
      <c r="A1" s="47" t="s">
        <v>577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>
      <c r="A2" s="48" t="s">
        <v>578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4" spans="1:17" ht="25.5">
      <c r="A4" s="3" t="s">
        <v>70</v>
      </c>
      <c r="B4" s="3" t="s">
        <v>5</v>
      </c>
      <c r="C4" s="3" t="s">
        <v>72</v>
      </c>
      <c r="D4" s="3" t="s">
        <v>579</v>
      </c>
      <c r="E4" s="3" t="s">
        <v>580</v>
      </c>
      <c r="F4" s="3" t="s">
        <v>38</v>
      </c>
      <c r="G4" s="3" t="s">
        <v>581</v>
      </c>
      <c r="H4" s="3" t="s">
        <v>84</v>
      </c>
      <c r="I4" s="3" t="s">
        <v>82</v>
      </c>
      <c r="J4" s="3" t="s">
        <v>83</v>
      </c>
      <c r="K4" s="3" t="s">
        <v>582</v>
      </c>
      <c r="L4" s="3" t="s">
        <v>583</v>
      </c>
      <c r="M4" s="3" t="s">
        <v>584</v>
      </c>
      <c r="N4" s="3" t="s">
        <v>585</v>
      </c>
      <c r="O4" s="3" t="s">
        <v>586</v>
      </c>
      <c r="P4" s="3" t="s">
        <v>587</v>
      </c>
      <c r="Q4" s="3" t="s">
        <v>588</v>
      </c>
    </row>
    <row r="5" spans="1:17">
      <c r="A5" s="5">
        <v>1</v>
      </c>
      <c r="B5" s="5" t="s">
        <v>13</v>
      </c>
      <c r="C5" s="5" t="s">
        <v>86</v>
      </c>
      <c r="D5" s="5">
        <v>1</v>
      </c>
      <c r="E5" s="5" t="s">
        <v>589</v>
      </c>
      <c r="F5" s="5" t="s">
        <v>43</v>
      </c>
      <c r="G5" s="27" t="s">
        <v>590</v>
      </c>
      <c r="H5" s="8" t="s">
        <v>40</v>
      </c>
      <c r="I5" s="8" t="s">
        <v>1519</v>
      </c>
      <c r="J5" s="8"/>
      <c r="K5" s="25">
        <v>46300</v>
      </c>
      <c r="L5" s="26">
        <v>1</v>
      </c>
      <c r="M5" s="8" t="s">
        <v>1520</v>
      </c>
      <c r="N5" s="9">
        <f>IF($K5="","",$K5+Dashboard!$B$5)</f>
        <v>46303</v>
      </c>
      <c r="O5" s="9">
        <f>IF($K5="","",$K5+Dashboard!$B$6)</f>
        <v>46307</v>
      </c>
      <c r="P5" s="9">
        <f>IF($K5="","",$K5+Dashboard!$B$7)</f>
        <v>46314</v>
      </c>
      <c r="Q5" s="9">
        <f t="shared" ref="Q5:Q68" ca="1" si="0">IF($K5="","",IF(TODAY()&lt;=N5,N5,IF(TODAY()&lt;=O5,O5,IF(TODAY()&lt;=P5,P5,"Đã ôn đủ"))))</f>
        <v>46303</v>
      </c>
    </row>
    <row r="6" spans="1:17">
      <c r="A6" s="5">
        <v>1</v>
      </c>
      <c r="B6" s="5" t="s">
        <v>13</v>
      </c>
      <c r="C6" s="5" t="s">
        <v>86</v>
      </c>
      <c r="D6" s="5">
        <v>412</v>
      </c>
      <c r="E6" s="5" t="s">
        <v>592</v>
      </c>
      <c r="F6" s="5" t="s">
        <v>43</v>
      </c>
      <c r="G6" s="27" t="s">
        <v>593</v>
      </c>
      <c r="H6" s="8" t="s">
        <v>591</v>
      </c>
      <c r="I6" s="8"/>
      <c r="J6" s="8"/>
      <c r="K6" s="25"/>
      <c r="L6" s="26"/>
      <c r="M6" s="8"/>
      <c r="N6" s="9" t="str">
        <f>IF($K6="","",$K6+Dashboard!$B$5)</f>
        <v/>
      </c>
      <c r="O6" s="9" t="str">
        <f>IF($K6="","",$K6+Dashboard!$B$6)</f>
        <v/>
      </c>
      <c r="P6" s="9" t="str">
        <f>IF($K6="","",$K6+Dashboard!$B$7)</f>
        <v/>
      </c>
      <c r="Q6" s="9" t="str">
        <f t="shared" ca="1" si="0"/>
        <v/>
      </c>
    </row>
    <row r="7" spans="1:17" ht="25.5">
      <c r="A7" s="5">
        <v>1</v>
      </c>
      <c r="B7" s="5" t="s">
        <v>13</v>
      </c>
      <c r="C7" s="5" t="s">
        <v>86</v>
      </c>
      <c r="D7" s="5">
        <v>217</v>
      </c>
      <c r="E7" s="5" t="s">
        <v>594</v>
      </c>
      <c r="F7" s="5" t="s">
        <v>43</v>
      </c>
      <c r="G7" s="27" t="s">
        <v>595</v>
      </c>
      <c r="H7" s="8" t="s">
        <v>591</v>
      </c>
      <c r="I7" s="8"/>
      <c r="J7" s="8"/>
      <c r="K7" s="25"/>
      <c r="L7" s="26"/>
      <c r="M7" s="8"/>
      <c r="N7" s="9" t="str">
        <f>IF($K7="","",$K7+Dashboard!$B$5)</f>
        <v/>
      </c>
      <c r="O7" s="9" t="str">
        <f>IF($K7="","",$K7+Dashboard!$B$6)</f>
        <v/>
      </c>
      <c r="P7" s="9" t="str">
        <f>IF($K7="","",$K7+Dashboard!$B$7)</f>
        <v/>
      </c>
      <c r="Q7" s="9" t="str">
        <f t="shared" ca="1" si="0"/>
        <v/>
      </c>
    </row>
    <row r="8" spans="1:17" ht="25.5">
      <c r="A8" s="5">
        <v>2</v>
      </c>
      <c r="B8" s="5" t="s">
        <v>13</v>
      </c>
      <c r="C8" s="5" t="s">
        <v>93</v>
      </c>
      <c r="D8" s="5">
        <v>26</v>
      </c>
      <c r="E8" s="5" t="s">
        <v>596</v>
      </c>
      <c r="F8" s="5" t="s">
        <v>43</v>
      </c>
      <c r="G8" s="27" t="s">
        <v>597</v>
      </c>
      <c r="H8" s="8" t="s">
        <v>591</v>
      </c>
      <c r="I8" s="8"/>
      <c r="J8" s="8"/>
      <c r="K8" s="25"/>
      <c r="L8" s="26"/>
      <c r="M8" s="8"/>
      <c r="N8" s="9" t="str">
        <f>IF($K8="","",$K8+Dashboard!$B$5)</f>
        <v/>
      </c>
      <c r="O8" s="9" t="str">
        <f>IF($K8="","",$K8+Dashboard!$B$6)</f>
        <v/>
      </c>
      <c r="P8" s="9" t="str">
        <f>IF($K8="","",$K8+Dashboard!$B$7)</f>
        <v/>
      </c>
      <c r="Q8" s="9" t="str">
        <f t="shared" ca="1" si="0"/>
        <v/>
      </c>
    </row>
    <row r="9" spans="1:17" ht="25.5">
      <c r="A9" s="5">
        <v>2</v>
      </c>
      <c r="B9" s="5" t="s">
        <v>13</v>
      </c>
      <c r="C9" s="5" t="s">
        <v>93</v>
      </c>
      <c r="D9" s="5">
        <v>27</v>
      </c>
      <c r="E9" s="5" t="s">
        <v>598</v>
      </c>
      <c r="F9" s="5" t="s">
        <v>43</v>
      </c>
      <c r="G9" s="27" t="s">
        <v>599</v>
      </c>
      <c r="H9" s="8" t="s">
        <v>591</v>
      </c>
      <c r="I9" s="8"/>
      <c r="J9" s="8"/>
      <c r="K9" s="25"/>
      <c r="L9" s="26"/>
      <c r="M9" s="8"/>
      <c r="N9" s="9" t="str">
        <f>IF($K9="","",$K9+Dashboard!$B$5)</f>
        <v/>
      </c>
      <c r="O9" s="9" t="str">
        <f>IF($K9="","",$K9+Dashboard!$B$6)</f>
        <v/>
      </c>
      <c r="P9" s="9" t="str">
        <f>IF($K9="","",$K9+Dashboard!$B$7)</f>
        <v/>
      </c>
      <c r="Q9" s="9" t="str">
        <f t="shared" ca="1" si="0"/>
        <v/>
      </c>
    </row>
    <row r="10" spans="1:17" ht="25.5">
      <c r="A10" s="5">
        <v>2</v>
      </c>
      <c r="B10" s="5" t="s">
        <v>13</v>
      </c>
      <c r="C10" s="5" t="s">
        <v>93</v>
      </c>
      <c r="D10" s="5">
        <v>88</v>
      </c>
      <c r="E10" s="5" t="s">
        <v>600</v>
      </c>
      <c r="F10" s="5" t="s">
        <v>43</v>
      </c>
      <c r="G10" s="27" t="s">
        <v>601</v>
      </c>
      <c r="H10" s="8" t="s">
        <v>591</v>
      </c>
      <c r="I10" s="8"/>
      <c r="J10" s="8"/>
      <c r="K10" s="25"/>
      <c r="L10" s="26"/>
      <c r="M10" s="8"/>
      <c r="N10" s="9" t="str">
        <f>IF($K10="","",$K10+Dashboard!$B$5)</f>
        <v/>
      </c>
      <c r="O10" s="9" t="str">
        <f>IF($K10="","",$K10+Dashboard!$B$6)</f>
        <v/>
      </c>
      <c r="P10" s="9" t="str">
        <f>IF($K10="","",$K10+Dashboard!$B$7)</f>
        <v/>
      </c>
      <c r="Q10" s="9" t="str">
        <f t="shared" ca="1" si="0"/>
        <v/>
      </c>
    </row>
    <row r="11" spans="1:17" ht="25.5">
      <c r="A11" s="5">
        <v>2</v>
      </c>
      <c r="B11" s="5" t="s">
        <v>13</v>
      </c>
      <c r="C11" s="5" t="s">
        <v>93</v>
      </c>
      <c r="D11" s="5">
        <v>283</v>
      </c>
      <c r="E11" s="5" t="s">
        <v>602</v>
      </c>
      <c r="F11" s="5" t="s">
        <v>43</v>
      </c>
      <c r="G11" s="27" t="s">
        <v>603</v>
      </c>
      <c r="H11" s="8" t="s">
        <v>591</v>
      </c>
      <c r="I11" s="8"/>
      <c r="J11" s="8"/>
      <c r="K11" s="25"/>
      <c r="L11" s="26"/>
      <c r="M11" s="8"/>
      <c r="N11" s="9" t="str">
        <f>IF($K11="","",$K11+Dashboard!$B$5)</f>
        <v/>
      </c>
      <c r="O11" s="9" t="str">
        <f>IF($K11="","",$K11+Dashboard!$B$6)</f>
        <v/>
      </c>
      <c r="P11" s="9" t="str">
        <f>IF($K11="","",$K11+Dashboard!$B$7)</f>
        <v/>
      </c>
      <c r="Q11" s="9" t="str">
        <f t="shared" ca="1" si="0"/>
        <v/>
      </c>
    </row>
    <row r="12" spans="1:17" ht="25.5">
      <c r="A12" s="5">
        <v>3</v>
      </c>
      <c r="B12" s="5" t="s">
        <v>13</v>
      </c>
      <c r="C12" s="5" t="s">
        <v>99</v>
      </c>
      <c r="D12" s="5">
        <v>344</v>
      </c>
      <c r="E12" s="5" t="s">
        <v>604</v>
      </c>
      <c r="F12" s="5" t="s">
        <v>43</v>
      </c>
      <c r="G12" s="27" t="s">
        <v>605</v>
      </c>
      <c r="H12" s="8" t="s">
        <v>591</v>
      </c>
      <c r="I12" s="8"/>
      <c r="J12" s="8"/>
      <c r="K12" s="25"/>
      <c r="L12" s="26"/>
      <c r="M12" s="8"/>
      <c r="N12" s="9" t="str">
        <f>IF($K12="","",$K12+Dashboard!$B$5)</f>
        <v/>
      </c>
      <c r="O12" s="9" t="str">
        <f>IF($K12="","",$K12+Dashboard!$B$6)</f>
        <v/>
      </c>
      <c r="P12" s="9" t="str">
        <f>IF($K12="","",$K12+Dashboard!$B$7)</f>
        <v/>
      </c>
      <c r="Q12" s="9" t="str">
        <f t="shared" ca="1" si="0"/>
        <v/>
      </c>
    </row>
    <row r="13" spans="1:17" ht="25.5">
      <c r="A13" s="5">
        <v>3</v>
      </c>
      <c r="B13" s="5" t="s">
        <v>13</v>
      </c>
      <c r="C13" s="5" t="s">
        <v>99</v>
      </c>
      <c r="D13" s="5">
        <v>125</v>
      </c>
      <c r="E13" s="5" t="s">
        <v>606</v>
      </c>
      <c r="F13" s="5" t="s">
        <v>43</v>
      </c>
      <c r="G13" s="27" t="s">
        <v>607</v>
      </c>
      <c r="H13" s="8" t="s">
        <v>591</v>
      </c>
      <c r="I13" s="8"/>
      <c r="J13" s="8"/>
      <c r="K13" s="25"/>
      <c r="L13" s="26"/>
      <c r="M13" s="8"/>
      <c r="N13" s="9" t="str">
        <f>IF($K13="","",$K13+Dashboard!$B$5)</f>
        <v/>
      </c>
      <c r="O13" s="9" t="str">
        <f>IF($K13="","",$K13+Dashboard!$B$6)</f>
        <v/>
      </c>
      <c r="P13" s="9" t="str">
        <f>IF($K13="","",$K13+Dashboard!$B$7)</f>
        <v/>
      </c>
      <c r="Q13" s="9" t="str">
        <f t="shared" ca="1" si="0"/>
        <v/>
      </c>
    </row>
    <row r="14" spans="1:17" ht="25.5">
      <c r="A14" s="5">
        <v>3</v>
      </c>
      <c r="B14" s="5" t="s">
        <v>13</v>
      </c>
      <c r="C14" s="5" t="s">
        <v>99</v>
      </c>
      <c r="D14" s="5">
        <v>242</v>
      </c>
      <c r="E14" s="5" t="s">
        <v>608</v>
      </c>
      <c r="F14" s="5" t="s">
        <v>43</v>
      </c>
      <c r="G14" s="27" t="s">
        <v>609</v>
      </c>
      <c r="H14" s="8" t="s">
        <v>591</v>
      </c>
      <c r="I14" s="8"/>
      <c r="J14" s="8"/>
      <c r="K14" s="25"/>
      <c r="L14" s="26"/>
      <c r="M14" s="8"/>
      <c r="N14" s="9" t="str">
        <f>IF($K14="","",$K14+Dashboard!$B$5)</f>
        <v/>
      </c>
      <c r="O14" s="9" t="str">
        <f>IF($K14="","",$K14+Dashboard!$B$6)</f>
        <v/>
      </c>
      <c r="P14" s="9" t="str">
        <f>IF($K14="","",$K14+Dashboard!$B$7)</f>
        <v/>
      </c>
      <c r="Q14" s="9" t="str">
        <f t="shared" ca="1" si="0"/>
        <v/>
      </c>
    </row>
    <row r="15" spans="1:17" ht="25.5">
      <c r="A15" s="5">
        <v>3</v>
      </c>
      <c r="B15" s="5" t="s">
        <v>13</v>
      </c>
      <c r="C15" s="5" t="s">
        <v>99</v>
      </c>
      <c r="D15" s="5">
        <v>14</v>
      </c>
      <c r="E15" s="5" t="s">
        <v>610</v>
      </c>
      <c r="F15" s="5" t="s">
        <v>43</v>
      </c>
      <c r="G15" s="27" t="s">
        <v>611</v>
      </c>
      <c r="H15" s="8" t="s">
        <v>591</v>
      </c>
      <c r="I15" s="8"/>
      <c r="J15" s="8"/>
      <c r="K15" s="25"/>
      <c r="L15" s="26"/>
      <c r="M15" s="8"/>
      <c r="N15" s="9" t="str">
        <f>IF($K15="","",$K15+Dashboard!$B$5)</f>
        <v/>
      </c>
      <c r="O15" s="9" t="str">
        <f>IF($K15="","",$K15+Dashboard!$B$6)</f>
        <v/>
      </c>
      <c r="P15" s="9" t="str">
        <f>IF($K15="","",$K15+Dashboard!$B$7)</f>
        <v/>
      </c>
      <c r="Q15" s="9" t="str">
        <f t="shared" ca="1" si="0"/>
        <v/>
      </c>
    </row>
    <row r="16" spans="1:17" ht="25.5">
      <c r="A16" s="5">
        <v>4</v>
      </c>
      <c r="B16" s="5" t="s">
        <v>13</v>
      </c>
      <c r="C16" s="5" t="s">
        <v>104</v>
      </c>
      <c r="D16" s="5">
        <v>9</v>
      </c>
      <c r="E16" s="5" t="s">
        <v>612</v>
      </c>
      <c r="F16" s="5" t="s">
        <v>43</v>
      </c>
      <c r="G16" s="27" t="s">
        <v>613</v>
      </c>
      <c r="H16" s="8" t="s">
        <v>591</v>
      </c>
      <c r="I16" s="8"/>
      <c r="J16" s="8"/>
      <c r="K16" s="25"/>
      <c r="L16" s="26"/>
      <c r="M16" s="8"/>
      <c r="N16" s="9" t="str">
        <f>IF($K16="","",$K16+Dashboard!$B$5)</f>
        <v/>
      </c>
      <c r="O16" s="9" t="str">
        <f>IF($K16="","",$K16+Dashboard!$B$6)</f>
        <v/>
      </c>
      <c r="P16" s="9" t="str">
        <f>IF($K16="","",$K16+Dashboard!$B$7)</f>
        <v/>
      </c>
      <c r="Q16" s="9" t="str">
        <f t="shared" ca="1" si="0"/>
        <v/>
      </c>
    </row>
    <row r="17" spans="1:17" ht="25.5">
      <c r="A17" s="5">
        <v>4</v>
      </c>
      <c r="B17" s="5" t="s">
        <v>13</v>
      </c>
      <c r="C17" s="5" t="s">
        <v>104</v>
      </c>
      <c r="D17" s="5">
        <v>13</v>
      </c>
      <c r="E17" s="5" t="s">
        <v>614</v>
      </c>
      <c r="F17" s="5" t="s">
        <v>43</v>
      </c>
      <c r="G17" s="27" t="s">
        <v>615</v>
      </c>
      <c r="H17" s="8" t="s">
        <v>591</v>
      </c>
      <c r="I17" s="8"/>
      <c r="J17" s="8"/>
      <c r="K17" s="25"/>
      <c r="L17" s="26"/>
      <c r="M17" s="8"/>
      <c r="N17" s="9" t="str">
        <f>IF($K17="","",$K17+Dashboard!$B$5)</f>
        <v/>
      </c>
      <c r="O17" s="9" t="str">
        <f>IF($K17="","",$K17+Dashboard!$B$6)</f>
        <v/>
      </c>
      <c r="P17" s="9" t="str">
        <f>IF($K17="","",$K17+Dashboard!$B$7)</f>
        <v/>
      </c>
      <c r="Q17" s="9" t="str">
        <f t="shared" ca="1" si="0"/>
        <v/>
      </c>
    </row>
    <row r="18" spans="1:17" ht="25.5">
      <c r="A18" s="5">
        <v>4</v>
      </c>
      <c r="B18" s="5" t="s">
        <v>13</v>
      </c>
      <c r="C18" s="5" t="s">
        <v>104</v>
      </c>
      <c r="D18" s="5">
        <v>7</v>
      </c>
      <c r="E18" s="5" t="s">
        <v>616</v>
      </c>
      <c r="F18" s="5" t="s">
        <v>45</v>
      </c>
      <c r="G18" s="27" t="s">
        <v>617</v>
      </c>
      <c r="H18" s="8" t="s">
        <v>591</v>
      </c>
      <c r="I18" s="8"/>
      <c r="J18" s="8"/>
      <c r="K18" s="25"/>
      <c r="L18" s="26"/>
      <c r="M18" s="8"/>
      <c r="N18" s="9" t="str">
        <f>IF($K18="","",$K18+Dashboard!$B$5)</f>
        <v/>
      </c>
      <c r="O18" s="9" t="str">
        <f>IF($K18="","",$K18+Dashboard!$B$6)</f>
        <v/>
      </c>
      <c r="P18" s="9" t="str">
        <f>IF($K18="","",$K18+Dashboard!$B$7)</f>
        <v/>
      </c>
      <c r="Q18" s="9" t="str">
        <f t="shared" ca="1" si="0"/>
        <v/>
      </c>
    </row>
    <row r="19" spans="1:17">
      <c r="A19" s="5">
        <v>4</v>
      </c>
      <c r="B19" s="5" t="s">
        <v>13</v>
      </c>
      <c r="C19" s="5" t="s">
        <v>104</v>
      </c>
      <c r="D19" s="5">
        <v>66</v>
      </c>
      <c r="E19" s="5" t="s">
        <v>618</v>
      </c>
      <c r="F19" s="5" t="s">
        <v>43</v>
      </c>
      <c r="G19" s="27" t="s">
        <v>619</v>
      </c>
      <c r="H19" s="8" t="s">
        <v>591</v>
      </c>
      <c r="I19" s="8"/>
      <c r="J19" s="8"/>
      <c r="K19" s="25"/>
      <c r="L19" s="26"/>
      <c r="M19" s="8"/>
      <c r="N19" s="9" t="str">
        <f>IF($K19="","",$K19+Dashboard!$B$5)</f>
        <v/>
      </c>
      <c r="O19" s="9" t="str">
        <f>IF($K19="","",$K19+Dashboard!$B$6)</f>
        <v/>
      </c>
      <c r="P19" s="9" t="str">
        <f>IF($K19="","",$K19+Dashboard!$B$7)</f>
        <v/>
      </c>
      <c r="Q19" s="9" t="str">
        <f t="shared" ca="1" si="0"/>
        <v/>
      </c>
    </row>
    <row r="20" spans="1:17" ht="25.5">
      <c r="A20" s="5">
        <v>5</v>
      </c>
      <c r="B20" s="5" t="s">
        <v>13</v>
      </c>
      <c r="C20" s="5" t="s">
        <v>109</v>
      </c>
      <c r="D20" s="5">
        <v>204</v>
      </c>
      <c r="E20" s="5" t="s">
        <v>620</v>
      </c>
      <c r="F20" s="5" t="s">
        <v>45</v>
      </c>
      <c r="G20" s="27" t="s">
        <v>621</v>
      </c>
      <c r="H20" s="8" t="s">
        <v>591</v>
      </c>
      <c r="I20" s="8"/>
      <c r="J20" s="8"/>
      <c r="K20" s="25"/>
      <c r="L20" s="26"/>
      <c r="M20" s="8"/>
      <c r="N20" s="9" t="str">
        <f>IF($K20="","",$K20+Dashboard!$B$5)</f>
        <v/>
      </c>
      <c r="O20" s="9" t="str">
        <f>IF($K20="","",$K20+Dashboard!$B$6)</f>
        <v/>
      </c>
      <c r="P20" s="9" t="str">
        <f>IF($K20="","",$K20+Dashboard!$B$7)</f>
        <v/>
      </c>
      <c r="Q20" s="9" t="str">
        <f t="shared" ca="1" si="0"/>
        <v/>
      </c>
    </row>
    <row r="21" spans="1:17">
      <c r="A21" s="5">
        <v>5</v>
      </c>
      <c r="B21" s="5" t="s">
        <v>13</v>
      </c>
      <c r="C21" s="5" t="s">
        <v>109</v>
      </c>
      <c r="D21" s="5">
        <v>50</v>
      </c>
      <c r="E21" s="5" t="s">
        <v>622</v>
      </c>
      <c r="F21" s="5" t="s">
        <v>45</v>
      </c>
      <c r="G21" s="27" t="s">
        <v>623</v>
      </c>
      <c r="H21" s="8" t="s">
        <v>591</v>
      </c>
      <c r="I21" s="8"/>
      <c r="J21" s="8"/>
      <c r="K21" s="25"/>
      <c r="L21" s="26"/>
      <c r="M21" s="8"/>
      <c r="N21" s="9" t="str">
        <f>IF($K21="","",$K21+Dashboard!$B$5)</f>
        <v/>
      </c>
      <c r="O21" s="9" t="str">
        <f>IF($K21="","",$K21+Dashboard!$B$6)</f>
        <v/>
      </c>
      <c r="P21" s="9" t="str">
        <f>IF($K21="","",$K21+Dashboard!$B$7)</f>
        <v/>
      </c>
      <c r="Q21" s="9" t="str">
        <f t="shared" ca="1" si="0"/>
        <v/>
      </c>
    </row>
    <row r="22" spans="1:17">
      <c r="A22" s="5">
        <v>5</v>
      </c>
      <c r="B22" s="5" t="s">
        <v>13</v>
      </c>
      <c r="C22" s="5" t="s">
        <v>109</v>
      </c>
      <c r="D22" s="5">
        <v>69</v>
      </c>
      <c r="E22" s="5" t="s">
        <v>624</v>
      </c>
      <c r="F22" s="5" t="s">
        <v>43</v>
      </c>
      <c r="G22" s="27" t="s">
        <v>625</v>
      </c>
      <c r="H22" s="8" t="s">
        <v>591</v>
      </c>
      <c r="I22" s="8"/>
      <c r="J22" s="8"/>
      <c r="K22" s="25"/>
      <c r="L22" s="26"/>
      <c r="M22" s="8"/>
      <c r="N22" s="9" t="str">
        <f>IF($K22="","",$K22+Dashboard!$B$5)</f>
        <v/>
      </c>
      <c r="O22" s="9" t="str">
        <f>IF($K22="","",$K22+Dashboard!$B$6)</f>
        <v/>
      </c>
      <c r="P22" s="9" t="str">
        <f>IF($K22="","",$K22+Dashboard!$B$7)</f>
        <v/>
      </c>
      <c r="Q22" s="9" t="str">
        <f t="shared" ca="1" si="0"/>
        <v/>
      </c>
    </row>
    <row r="23" spans="1:17" ht="25.5">
      <c r="A23" s="5">
        <v>5</v>
      </c>
      <c r="B23" s="5" t="s">
        <v>13</v>
      </c>
      <c r="C23" s="5" t="s">
        <v>109</v>
      </c>
      <c r="D23" s="5">
        <v>1071</v>
      </c>
      <c r="E23" s="5" t="s">
        <v>626</v>
      </c>
      <c r="F23" s="5" t="s">
        <v>43</v>
      </c>
      <c r="G23" s="27" t="s">
        <v>627</v>
      </c>
      <c r="H23" s="8" t="s">
        <v>591</v>
      </c>
      <c r="I23" s="8"/>
      <c r="J23" s="8"/>
      <c r="K23" s="25"/>
      <c r="L23" s="26"/>
      <c r="M23" s="8"/>
      <c r="N23" s="9" t="str">
        <f>IF($K23="","",$K23+Dashboard!$B$5)</f>
        <v/>
      </c>
      <c r="O23" s="9" t="str">
        <f>IF($K23="","",$K23+Dashboard!$B$6)</f>
        <v/>
      </c>
      <c r="P23" s="9" t="str">
        <f>IF($K23="","",$K23+Dashboard!$B$7)</f>
        <v/>
      </c>
      <c r="Q23" s="9" t="str">
        <f t="shared" ca="1" si="0"/>
        <v/>
      </c>
    </row>
    <row r="24" spans="1:17" ht="25.5">
      <c r="A24" s="5">
        <v>6</v>
      </c>
      <c r="B24" s="5" t="s">
        <v>13</v>
      </c>
      <c r="C24" s="5" t="s">
        <v>114</v>
      </c>
      <c r="D24" s="5">
        <v>303</v>
      </c>
      <c r="E24" s="5" t="s">
        <v>628</v>
      </c>
      <c r="F24" s="5" t="s">
        <v>43</v>
      </c>
      <c r="G24" s="27" t="s">
        <v>629</v>
      </c>
      <c r="H24" s="8" t="s">
        <v>591</v>
      </c>
      <c r="I24" s="8"/>
      <c r="J24" s="8"/>
      <c r="K24" s="25"/>
      <c r="L24" s="26"/>
      <c r="M24" s="8"/>
      <c r="N24" s="9" t="str">
        <f>IF($K24="","",$K24+Dashboard!$B$5)</f>
        <v/>
      </c>
      <c r="O24" s="9" t="str">
        <f>IF($K24="","",$K24+Dashboard!$B$6)</f>
        <v/>
      </c>
      <c r="P24" s="9" t="str">
        <f>IF($K24="","",$K24+Dashboard!$B$7)</f>
        <v/>
      </c>
      <c r="Q24" s="9" t="str">
        <f t="shared" ca="1" si="0"/>
        <v/>
      </c>
    </row>
    <row r="25" spans="1:17" ht="25.5">
      <c r="A25" s="5">
        <v>6</v>
      </c>
      <c r="B25" s="5" t="s">
        <v>13</v>
      </c>
      <c r="C25" s="5" t="s">
        <v>114</v>
      </c>
      <c r="D25" s="5">
        <v>724</v>
      </c>
      <c r="E25" s="5" t="s">
        <v>630</v>
      </c>
      <c r="F25" s="5" t="s">
        <v>43</v>
      </c>
      <c r="G25" s="27" t="s">
        <v>631</v>
      </c>
      <c r="H25" s="8" t="s">
        <v>591</v>
      </c>
      <c r="I25" s="8"/>
      <c r="J25" s="8"/>
      <c r="K25" s="25"/>
      <c r="L25" s="26"/>
      <c r="M25" s="8"/>
      <c r="N25" s="9" t="str">
        <f>IF($K25="","",$K25+Dashboard!$B$5)</f>
        <v/>
      </c>
      <c r="O25" s="9" t="str">
        <f>IF($K25="","",$K25+Dashboard!$B$6)</f>
        <v/>
      </c>
      <c r="P25" s="9" t="str">
        <f>IF($K25="","",$K25+Dashboard!$B$7)</f>
        <v/>
      </c>
      <c r="Q25" s="9" t="str">
        <f t="shared" ca="1" si="0"/>
        <v/>
      </c>
    </row>
    <row r="26" spans="1:17" ht="25.5">
      <c r="A26" s="5">
        <v>6</v>
      </c>
      <c r="B26" s="5" t="s">
        <v>13</v>
      </c>
      <c r="C26" s="5" t="s">
        <v>114</v>
      </c>
      <c r="D26" s="5">
        <v>238</v>
      </c>
      <c r="E26" s="5" t="s">
        <v>632</v>
      </c>
      <c r="F26" s="5" t="s">
        <v>45</v>
      </c>
      <c r="G26" s="27" t="s">
        <v>633</v>
      </c>
      <c r="H26" s="8" t="s">
        <v>591</v>
      </c>
      <c r="I26" s="8"/>
      <c r="J26" s="8"/>
      <c r="K26" s="25"/>
      <c r="L26" s="26"/>
      <c r="M26" s="8"/>
      <c r="N26" s="9" t="str">
        <f>IF($K26="","",$K26+Dashboard!$B$5)</f>
        <v/>
      </c>
      <c r="O26" s="9" t="str">
        <f>IF($K26="","",$K26+Dashboard!$B$6)</f>
        <v/>
      </c>
      <c r="P26" s="9" t="str">
        <f>IF($K26="","",$K26+Dashboard!$B$7)</f>
        <v/>
      </c>
      <c r="Q26" s="9" t="str">
        <f t="shared" ca="1" si="0"/>
        <v/>
      </c>
    </row>
    <row r="27" spans="1:17" ht="25.5">
      <c r="A27" s="5">
        <v>6</v>
      </c>
      <c r="B27" s="5" t="s">
        <v>13</v>
      </c>
      <c r="C27" s="5" t="s">
        <v>114</v>
      </c>
      <c r="D27" s="5">
        <v>560</v>
      </c>
      <c r="E27" s="5" t="s">
        <v>634</v>
      </c>
      <c r="F27" s="5" t="s">
        <v>45</v>
      </c>
      <c r="G27" s="27" t="s">
        <v>635</v>
      </c>
      <c r="H27" s="8" t="s">
        <v>591</v>
      </c>
      <c r="I27" s="8"/>
      <c r="J27" s="8"/>
      <c r="K27" s="25"/>
      <c r="L27" s="26"/>
      <c r="M27" s="8"/>
      <c r="N27" s="9" t="str">
        <f>IF($K27="","",$K27+Dashboard!$B$5)</f>
        <v/>
      </c>
      <c r="O27" s="9" t="str">
        <f>IF($K27="","",$K27+Dashboard!$B$6)</f>
        <v/>
      </c>
      <c r="P27" s="9" t="str">
        <f>IF($K27="","",$K27+Dashboard!$B$7)</f>
        <v/>
      </c>
      <c r="Q27" s="9" t="str">
        <f t="shared" ca="1" si="0"/>
        <v/>
      </c>
    </row>
    <row r="28" spans="1:17" ht="25.5">
      <c r="A28" s="5">
        <v>7</v>
      </c>
      <c r="B28" s="5" t="s">
        <v>13</v>
      </c>
      <c r="C28" s="5" t="s">
        <v>119</v>
      </c>
      <c r="D28" s="5">
        <v>53</v>
      </c>
      <c r="E28" s="5" t="s">
        <v>636</v>
      </c>
      <c r="F28" s="5" t="s">
        <v>45</v>
      </c>
      <c r="G28" s="27" t="s">
        <v>637</v>
      </c>
      <c r="H28" s="8" t="s">
        <v>591</v>
      </c>
      <c r="I28" s="8"/>
      <c r="J28" s="8"/>
      <c r="K28" s="25"/>
      <c r="L28" s="26"/>
      <c r="M28" s="8"/>
      <c r="N28" s="9" t="str">
        <f>IF($K28="","",$K28+Dashboard!$B$5)</f>
        <v/>
      </c>
      <c r="O28" s="9" t="str">
        <f>IF($K28="","",$K28+Dashboard!$B$6)</f>
        <v/>
      </c>
      <c r="P28" s="9" t="str">
        <f>IF($K28="","",$K28+Dashboard!$B$7)</f>
        <v/>
      </c>
      <c r="Q28" s="9" t="str">
        <f t="shared" ca="1" si="0"/>
        <v/>
      </c>
    </row>
    <row r="29" spans="1:17" ht="25.5">
      <c r="A29" s="5">
        <v>7</v>
      </c>
      <c r="B29" s="5" t="s">
        <v>13</v>
      </c>
      <c r="C29" s="5" t="s">
        <v>119</v>
      </c>
      <c r="D29" s="5">
        <v>121</v>
      </c>
      <c r="E29" s="5" t="s">
        <v>638</v>
      </c>
      <c r="F29" s="5" t="s">
        <v>43</v>
      </c>
      <c r="G29" s="27" t="s">
        <v>639</v>
      </c>
      <c r="H29" s="8" t="s">
        <v>591</v>
      </c>
      <c r="I29" s="8"/>
      <c r="J29" s="8"/>
      <c r="K29" s="25"/>
      <c r="L29" s="26"/>
      <c r="M29" s="8"/>
      <c r="N29" s="9" t="str">
        <f>IF($K29="","",$K29+Dashboard!$B$5)</f>
        <v/>
      </c>
      <c r="O29" s="9" t="str">
        <f>IF($K29="","",$K29+Dashboard!$B$6)</f>
        <v/>
      </c>
      <c r="P29" s="9" t="str">
        <f>IF($K29="","",$K29+Dashboard!$B$7)</f>
        <v/>
      </c>
      <c r="Q29" s="9" t="str">
        <f t="shared" ca="1" si="0"/>
        <v/>
      </c>
    </row>
    <row r="30" spans="1:17" ht="25.5">
      <c r="A30" s="5">
        <v>7</v>
      </c>
      <c r="B30" s="5" t="s">
        <v>13</v>
      </c>
      <c r="C30" s="5" t="s">
        <v>119</v>
      </c>
      <c r="D30" s="5">
        <v>169</v>
      </c>
      <c r="E30" s="5" t="s">
        <v>640</v>
      </c>
      <c r="F30" s="5" t="s">
        <v>43</v>
      </c>
      <c r="G30" s="27" t="s">
        <v>641</v>
      </c>
      <c r="H30" s="8" t="s">
        <v>591</v>
      </c>
      <c r="I30" s="8"/>
      <c r="J30" s="8"/>
      <c r="K30" s="25"/>
      <c r="L30" s="26"/>
      <c r="M30" s="8"/>
      <c r="N30" s="9" t="str">
        <f>IF($K30="","",$K30+Dashboard!$B$5)</f>
        <v/>
      </c>
      <c r="O30" s="9" t="str">
        <f>IF($K30="","",$K30+Dashboard!$B$6)</f>
        <v/>
      </c>
      <c r="P30" s="9" t="str">
        <f>IF($K30="","",$K30+Dashboard!$B$7)</f>
        <v/>
      </c>
      <c r="Q30" s="9" t="str">
        <f t="shared" ca="1" si="0"/>
        <v/>
      </c>
    </row>
    <row r="31" spans="1:17" ht="25.5">
      <c r="A31" s="5">
        <v>8</v>
      </c>
      <c r="B31" s="5" t="s">
        <v>13</v>
      </c>
      <c r="C31" s="5" t="s">
        <v>125</v>
      </c>
      <c r="D31" s="5">
        <v>167</v>
      </c>
      <c r="E31" s="5" t="s">
        <v>642</v>
      </c>
      <c r="F31" s="5" t="s">
        <v>45</v>
      </c>
      <c r="G31" s="27" t="s">
        <v>643</v>
      </c>
      <c r="H31" s="8" t="s">
        <v>591</v>
      </c>
      <c r="I31" s="8"/>
      <c r="J31" s="8"/>
      <c r="K31" s="25"/>
      <c r="L31" s="26"/>
      <c r="M31" s="8"/>
      <c r="N31" s="9" t="str">
        <f>IF($K31="","",$K31+Dashboard!$B$5)</f>
        <v/>
      </c>
      <c r="O31" s="9" t="str">
        <f>IF($K31="","",$K31+Dashboard!$B$6)</f>
        <v/>
      </c>
      <c r="P31" s="9" t="str">
        <f>IF($K31="","",$K31+Dashboard!$B$7)</f>
        <v/>
      </c>
      <c r="Q31" s="9" t="str">
        <f t="shared" ca="1" si="0"/>
        <v/>
      </c>
    </row>
    <row r="32" spans="1:17">
      <c r="A32" s="5">
        <v>8</v>
      </c>
      <c r="B32" s="5" t="s">
        <v>13</v>
      </c>
      <c r="C32" s="5" t="s">
        <v>125</v>
      </c>
      <c r="D32" s="5">
        <v>15</v>
      </c>
      <c r="E32" s="5" t="s">
        <v>644</v>
      </c>
      <c r="F32" s="5" t="s">
        <v>45</v>
      </c>
      <c r="G32" s="27" t="s">
        <v>645</v>
      </c>
      <c r="H32" s="8" t="s">
        <v>591</v>
      </c>
      <c r="I32" s="8"/>
      <c r="J32" s="8"/>
      <c r="K32" s="25"/>
      <c r="L32" s="26"/>
      <c r="M32" s="8"/>
      <c r="N32" s="9" t="str">
        <f>IF($K32="","",$K32+Dashboard!$B$5)</f>
        <v/>
      </c>
      <c r="O32" s="9" t="str">
        <f>IF($K32="","",$K32+Dashboard!$B$6)</f>
        <v/>
      </c>
      <c r="P32" s="9" t="str">
        <f>IF($K32="","",$K32+Dashboard!$B$7)</f>
        <v/>
      </c>
      <c r="Q32" s="9" t="str">
        <f t="shared" ca="1" si="0"/>
        <v/>
      </c>
    </row>
    <row r="33" spans="1:17" ht="25.5">
      <c r="A33" s="5">
        <v>8</v>
      </c>
      <c r="B33" s="5" t="s">
        <v>13</v>
      </c>
      <c r="C33" s="5" t="s">
        <v>125</v>
      </c>
      <c r="D33" s="5">
        <v>11</v>
      </c>
      <c r="E33" s="5" t="s">
        <v>646</v>
      </c>
      <c r="F33" s="5" t="s">
        <v>45</v>
      </c>
      <c r="G33" s="27" t="s">
        <v>647</v>
      </c>
      <c r="H33" s="8" t="s">
        <v>591</v>
      </c>
      <c r="I33" s="8"/>
      <c r="J33" s="8"/>
      <c r="K33" s="25"/>
      <c r="L33" s="26"/>
      <c r="M33" s="8"/>
      <c r="N33" s="9" t="str">
        <f>IF($K33="","",$K33+Dashboard!$B$5)</f>
        <v/>
      </c>
      <c r="O33" s="9" t="str">
        <f>IF($K33="","",$K33+Dashboard!$B$6)</f>
        <v/>
      </c>
      <c r="P33" s="9" t="str">
        <f>IF($K33="","",$K33+Dashboard!$B$7)</f>
        <v/>
      </c>
      <c r="Q33" s="9" t="str">
        <f t="shared" ca="1" si="0"/>
        <v/>
      </c>
    </row>
    <row r="34" spans="1:17" ht="25.5">
      <c r="A34" s="5">
        <v>9</v>
      </c>
      <c r="B34" s="5" t="s">
        <v>13</v>
      </c>
      <c r="C34" s="5" t="s">
        <v>130</v>
      </c>
      <c r="D34" s="5">
        <v>3</v>
      </c>
      <c r="E34" s="5" t="s">
        <v>648</v>
      </c>
      <c r="F34" s="5" t="s">
        <v>45</v>
      </c>
      <c r="G34" s="27" t="s">
        <v>649</v>
      </c>
      <c r="H34" s="8" t="s">
        <v>591</v>
      </c>
      <c r="I34" s="8"/>
      <c r="J34" s="8"/>
      <c r="K34" s="25"/>
      <c r="L34" s="26"/>
      <c r="M34" s="8"/>
      <c r="N34" s="9" t="str">
        <f>IF($K34="","",$K34+Dashboard!$B$5)</f>
        <v/>
      </c>
      <c r="O34" s="9" t="str">
        <f>IF($K34="","",$K34+Dashboard!$B$6)</f>
        <v/>
      </c>
      <c r="P34" s="9" t="str">
        <f>IF($K34="","",$K34+Dashboard!$B$7)</f>
        <v/>
      </c>
      <c r="Q34" s="9" t="str">
        <f t="shared" ca="1" si="0"/>
        <v/>
      </c>
    </row>
    <row r="35" spans="1:17" ht="25.5">
      <c r="A35" s="5">
        <v>9</v>
      </c>
      <c r="B35" s="5" t="s">
        <v>13</v>
      </c>
      <c r="C35" s="5" t="s">
        <v>130</v>
      </c>
      <c r="D35" s="5">
        <v>209</v>
      </c>
      <c r="E35" s="5" t="s">
        <v>650</v>
      </c>
      <c r="F35" s="5" t="s">
        <v>45</v>
      </c>
      <c r="G35" s="27" t="s">
        <v>651</v>
      </c>
      <c r="H35" s="8" t="s">
        <v>591</v>
      </c>
      <c r="I35" s="8"/>
      <c r="J35" s="8"/>
      <c r="K35" s="25"/>
      <c r="L35" s="26"/>
      <c r="M35" s="8"/>
      <c r="N35" s="9" t="str">
        <f>IF($K35="","",$K35+Dashboard!$B$5)</f>
        <v/>
      </c>
      <c r="O35" s="9" t="str">
        <f>IF($K35="","",$K35+Dashboard!$B$6)</f>
        <v/>
      </c>
      <c r="P35" s="9" t="str">
        <f>IF($K35="","",$K35+Dashboard!$B$7)</f>
        <v/>
      </c>
      <c r="Q35" s="9" t="str">
        <f t="shared" ca="1" si="0"/>
        <v/>
      </c>
    </row>
    <row r="36" spans="1:17" ht="25.5">
      <c r="A36" s="5">
        <v>9</v>
      </c>
      <c r="B36" s="5" t="s">
        <v>13</v>
      </c>
      <c r="C36" s="5" t="s">
        <v>130</v>
      </c>
      <c r="D36" s="5">
        <v>567</v>
      </c>
      <c r="E36" s="5" t="s">
        <v>652</v>
      </c>
      <c r="F36" s="5" t="s">
        <v>45</v>
      </c>
      <c r="G36" s="27" t="s">
        <v>653</v>
      </c>
      <c r="H36" s="8" t="s">
        <v>591</v>
      </c>
      <c r="I36" s="8"/>
      <c r="J36" s="8"/>
      <c r="K36" s="25"/>
      <c r="L36" s="26"/>
      <c r="M36" s="8"/>
      <c r="N36" s="9" t="str">
        <f>IF($K36="","",$K36+Dashboard!$B$5)</f>
        <v/>
      </c>
      <c r="O36" s="9" t="str">
        <f>IF($K36="","",$K36+Dashboard!$B$6)</f>
        <v/>
      </c>
      <c r="P36" s="9" t="str">
        <f>IF($K36="","",$K36+Dashboard!$B$7)</f>
        <v/>
      </c>
      <c r="Q36" s="9" t="str">
        <f t="shared" ca="1" si="0"/>
        <v/>
      </c>
    </row>
    <row r="37" spans="1:17" ht="25.5">
      <c r="A37" s="5">
        <v>9</v>
      </c>
      <c r="B37" s="5" t="s">
        <v>13</v>
      </c>
      <c r="C37" s="5" t="s">
        <v>130</v>
      </c>
      <c r="D37" s="5">
        <v>76</v>
      </c>
      <c r="E37" s="5" t="s">
        <v>654</v>
      </c>
      <c r="F37" s="5" t="s">
        <v>47</v>
      </c>
      <c r="G37" s="27" t="s">
        <v>655</v>
      </c>
      <c r="H37" s="8" t="s">
        <v>591</v>
      </c>
      <c r="I37" s="8"/>
      <c r="J37" s="8"/>
      <c r="K37" s="25"/>
      <c r="L37" s="26"/>
      <c r="M37" s="8"/>
      <c r="N37" s="9" t="str">
        <f>IF($K37="","",$K37+Dashboard!$B$5)</f>
        <v/>
      </c>
      <c r="O37" s="9" t="str">
        <f>IF($K37="","",$K37+Dashboard!$B$6)</f>
        <v/>
      </c>
      <c r="P37" s="9" t="str">
        <f>IF($K37="","",$K37+Dashboard!$B$7)</f>
        <v/>
      </c>
      <c r="Q37" s="9" t="str">
        <f t="shared" ca="1" si="0"/>
        <v/>
      </c>
    </row>
    <row r="38" spans="1:17" ht="25.5">
      <c r="A38" s="5">
        <v>10</v>
      </c>
      <c r="B38" s="5" t="s">
        <v>13</v>
      </c>
      <c r="C38" s="5" t="s">
        <v>135</v>
      </c>
      <c r="D38" s="5">
        <v>509</v>
      </c>
      <c r="E38" s="5" t="s">
        <v>656</v>
      </c>
      <c r="F38" s="5" t="s">
        <v>43</v>
      </c>
      <c r="G38" s="27" t="s">
        <v>657</v>
      </c>
      <c r="H38" s="8" t="s">
        <v>591</v>
      </c>
      <c r="I38" s="8"/>
      <c r="J38" s="8"/>
      <c r="K38" s="25"/>
      <c r="L38" s="26"/>
      <c r="M38" s="8"/>
      <c r="N38" s="9" t="str">
        <f>IF($K38="","",$K38+Dashboard!$B$5)</f>
        <v/>
      </c>
      <c r="O38" s="9" t="str">
        <f>IF($K38="","",$K38+Dashboard!$B$6)</f>
        <v/>
      </c>
      <c r="P38" s="9" t="str">
        <f>IF($K38="","",$K38+Dashboard!$B$7)</f>
        <v/>
      </c>
      <c r="Q38" s="9" t="str">
        <f t="shared" ca="1" si="0"/>
        <v/>
      </c>
    </row>
    <row r="39" spans="1:17" ht="25.5">
      <c r="A39" s="5">
        <v>10</v>
      </c>
      <c r="B39" s="5" t="s">
        <v>13</v>
      </c>
      <c r="C39" s="5" t="s">
        <v>135</v>
      </c>
      <c r="D39" s="5">
        <v>70</v>
      </c>
      <c r="E39" s="5" t="s">
        <v>658</v>
      </c>
      <c r="F39" s="5" t="s">
        <v>43</v>
      </c>
      <c r="G39" s="27" t="s">
        <v>659</v>
      </c>
      <c r="H39" s="8" t="s">
        <v>591</v>
      </c>
      <c r="I39" s="8"/>
      <c r="J39" s="8"/>
      <c r="K39" s="25"/>
      <c r="L39" s="26"/>
      <c r="M39" s="8"/>
      <c r="N39" s="9" t="str">
        <f>IF($K39="","",$K39+Dashboard!$B$5)</f>
        <v/>
      </c>
      <c r="O39" s="9" t="str">
        <f>IF($K39="","",$K39+Dashboard!$B$6)</f>
        <v/>
      </c>
      <c r="P39" s="9" t="str">
        <f>IF($K39="","",$K39+Dashboard!$B$7)</f>
        <v/>
      </c>
      <c r="Q39" s="9" t="str">
        <f t="shared" ca="1" si="0"/>
        <v/>
      </c>
    </row>
    <row r="40" spans="1:17" ht="25.5">
      <c r="A40" s="5">
        <v>10</v>
      </c>
      <c r="B40" s="5" t="s">
        <v>13</v>
      </c>
      <c r="C40" s="5" t="s">
        <v>135</v>
      </c>
      <c r="D40" s="5">
        <v>231</v>
      </c>
      <c r="E40" s="5" t="s">
        <v>660</v>
      </c>
      <c r="F40" s="5" t="s">
        <v>43</v>
      </c>
      <c r="G40" s="27" t="s">
        <v>661</v>
      </c>
      <c r="H40" s="8" t="s">
        <v>591</v>
      </c>
      <c r="I40" s="8"/>
      <c r="J40" s="8"/>
      <c r="K40" s="25"/>
      <c r="L40" s="26"/>
      <c r="M40" s="8"/>
      <c r="N40" s="9" t="str">
        <f>IF($K40="","",$K40+Dashboard!$B$5)</f>
        <v/>
      </c>
      <c r="O40" s="9" t="str">
        <f>IF($K40="","",$K40+Dashboard!$B$6)</f>
        <v/>
      </c>
      <c r="P40" s="9" t="str">
        <f>IF($K40="","",$K40+Dashboard!$B$7)</f>
        <v/>
      </c>
      <c r="Q40" s="9" t="str">
        <f t="shared" ca="1" si="0"/>
        <v/>
      </c>
    </row>
    <row r="41" spans="1:17" ht="25.5">
      <c r="A41" s="5">
        <v>10</v>
      </c>
      <c r="B41" s="5" t="s">
        <v>13</v>
      </c>
      <c r="C41" s="5" t="s">
        <v>135</v>
      </c>
      <c r="D41" s="5">
        <v>779</v>
      </c>
      <c r="E41" s="5" t="s">
        <v>662</v>
      </c>
      <c r="F41" s="5" t="s">
        <v>45</v>
      </c>
      <c r="G41" s="27" t="s">
        <v>663</v>
      </c>
      <c r="H41" s="8" t="s">
        <v>591</v>
      </c>
      <c r="I41" s="8"/>
      <c r="J41" s="8"/>
      <c r="K41" s="25"/>
      <c r="L41" s="26"/>
      <c r="M41" s="8"/>
      <c r="N41" s="9" t="str">
        <f>IF($K41="","",$K41+Dashboard!$B$5)</f>
        <v/>
      </c>
      <c r="O41" s="9" t="str">
        <f>IF($K41="","",$K41+Dashboard!$B$6)</f>
        <v/>
      </c>
      <c r="P41" s="9" t="str">
        <f>IF($K41="","",$K41+Dashboard!$B$7)</f>
        <v/>
      </c>
      <c r="Q41" s="9" t="str">
        <f t="shared" ca="1" si="0"/>
        <v/>
      </c>
    </row>
    <row r="42" spans="1:17" ht="25.5">
      <c r="A42" s="5">
        <v>11</v>
      </c>
      <c r="B42" s="5" t="s">
        <v>15</v>
      </c>
      <c r="C42" s="5" t="s">
        <v>140</v>
      </c>
      <c r="D42" s="5">
        <v>704</v>
      </c>
      <c r="E42" s="5" t="s">
        <v>664</v>
      </c>
      <c r="F42" s="5" t="s">
        <v>43</v>
      </c>
      <c r="G42" s="27" t="s">
        <v>665</v>
      </c>
      <c r="H42" s="8" t="s">
        <v>591</v>
      </c>
      <c r="I42" s="8"/>
      <c r="J42" s="8"/>
      <c r="K42" s="25"/>
      <c r="L42" s="26"/>
      <c r="M42" s="8"/>
      <c r="N42" s="9" t="str">
        <f>IF($K42="","",$K42+Dashboard!$B$5)</f>
        <v/>
      </c>
      <c r="O42" s="9" t="str">
        <f>IF($K42="","",$K42+Dashboard!$B$6)</f>
        <v/>
      </c>
      <c r="P42" s="9" t="str">
        <f>IF($K42="","",$K42+Dashboard!$B$7)</f>
        <v/>
      </c>
      <c r="Q42" s="9" t="str">
        <f t="shared" ca="1" si="0"/>
        <v/>
      </c>
    </row>
    <row r="43" spans="1:17" ht="25.5">
      <c r="A43" s="5">
        <v>11</v>
      </c>
      <c r="B43" s="5" t="s">
        <v>15</v>
      </c>
      <c r="C43" s="5" t="s">
        <v>140</v>
      </c>
      <c r="D43" s="5">
        <v>35</v>
      </c>
      <c r="E43" s="5" t="s">
        <v>666</v>
      </c>
      <c r="F43" s="5" t="s">
        <v>43</v>
      </c>
      <c r="G43" s="27" t="s">
        <v>667</v>
      </c>
      <c r="H43" s="8" t="s">
        <v>591</v>
      </c>
      <c r="I43" s="8"/>
      <c r="J43" s="8"/>
      <c r="K43" s="25"/>
      <c r="L43" s="26"/>
      <c r="M43" s="8"/>
      <c r="N43" s="9" t="str">
        <f>IF($K43="","",$K43+Dashboard!$B$5)</f>
        <v/>
      </c>
      <c r="O43" s="9" t="str">
        <f>IF($K43="","",$K43+Dashboard!$B$6)</f>
        <v/>
      </c>
      <c r="P43" s="9" t="str">
        <f>IF($K43="","",$K43+Dashboard!$B$7)</f>
        <v/>
      </c>
      <c r="Q43" s="9" t="str">
        <f t="shared" ca="1" si="0"/>
        <v/>
      </c>
    </row>
    <row r="44" spans="1:17" ht="38.25">
      <c r="A44" s="5">
        <v>11</v>
      </c>
      <c r="B44" s="5" t="s">
        <v>15</v>
      </c>
      <c r="C44" s="5" t="s">
        <v>140</v>
      </c>
      <c r="D44" s="5">
        <v>34</v>
      </c>
      <c r="E44" s="5" t="s">
        <v>668</v>
      </c>
      <c r="F44" s="5" t="s">
        <v>45</v>
      </c>
      <c r="G44" s="27" t="s">
        <v>669</v>
      </c>
      <c r="H44" s="8" t="s">
        <v>591</v>
      </c>
      <c r="I44" s="8"/>
      <c r="J44" s="8"/>
      <c r="K44" s="25"/>
      <c r="L44" s="26"/>
      <c r="M44" s="8"/>
      <c r="N44" s="9" t="str">
        <f>IF($K44="","",$K44+Dashboard!$B$5)</f>
        <v/>
      </c>
      <c r="O44" s="9" t="str">
        <f>IF($K44="","",$K44+Dashboard!$B$6)</f>
        <v/>
      </c>
      <c r="P44" s="9" t="str">
        <f>IF($K44="","",$K44+Dashboard!$B$7)</f>
        <v/>
      </c>
      <c r="Q44" s="9" t="str">
        <f t="shared" ca="1" si="0"/>
        <v/>
      </c>
    </row>
    <row r="45" spans="1:17" ht="25.5">
      <c r="A45" s="5">
        <v>11</v>
      </c>
      <c r="B45" s="5" t="s">
        <v>15</v>
      </c>
      <c r="C45" s="5" t="s">
        <v>140</v>
      </c>
      <c r="D45" s="5">
        <v>74</v>
      </c>
      <c r="E45" s="5" t="s">
        <v>670</v>
      </c>
      <c r="F45" s="5" t="s">
        <v>45</v>
      </c>
      <c r="G45" s="27" t="s">
        <v>671</v>
      </c>
      <c r="H45" s="8" t="s">
        <v>591</v>
      </c>
      <c r="I45" s="8"/>
      <c r="J45" s="8"/>
      <c r="K45" s="25"/>
      <c r="L45" s="26"/>
      <c r="M45" s="8"/>
      <c r="N45" s="9" t="str">
        <f>IF($K45="","",$K45+Dashboard!$B$5)</f>
        <v/>
      </c>
      <c r="O45" s="9" t="str">
        <f>IF($K45="","",$K45+Dashboard!$B$6)</f>
        <v/>
      </c>
      <c r="P45" s="9" t="str">
        <f>IF($K45="","",$K45+Dashboard!$B$7)</f>
        <v/>
      </c>
      <c r="Q45" s="9" t="str">
        <f t="shared" ca="1" si="0"/>
        <v/>
      </c>
    </row>
    <row r="46" spans="1:17" ht="25.5">
      <c r="A46" s="5">
        <v>12</v>
      </c>
      <c r="B46" s="5" t="s">
        <v>15</v>
      </c>
      <c r="C46" s="5" t="s">
        <v>146</v>
      </c>
      <c r="D46" s="5">
        <v>33</v>
      </c>
      <c r="E46" s="5" t="s">
        <v>672</v>
      </c>
      <c r="F46" s="5" t="s">
        <v>45</v>
      </c>
      <c r="G46" s="27" t="s">
        <v>673</v>
      </c>
      <c r="H46" s="8" t="s">
        <v>591</v>
      </c>
      <c r="I46" s="8"/>
      <c r="J46" s="8"/>
      <c r="K46" s="25"/>
      <c r="L46" s="26"/>
      <c r="M46" s="8"/>
      <c r="N46" s="9" t="str">
        <f>IF($K46="","",$K46+Dashboard!$B$5)</f>
        <v/>
      </c>
      <c r="O46" s="9" t="str">
        <f>IF($K46="","",$K46+Dashboard!$B$6)</f>
        <v/>
      </c>
      <c r="P46" s="9" t="str">
        <f>IF($K46="","",$K46+Dashboard!$B$7)</f>
        <v/>
      </c>
      <c r="Q46" s="9" t="str">
        <f t="shared" ca="1" si="0"/>
        <v/>
      </c>
    </row>
    <row r="47" spans="1:17" ht="25.5">
      <c r="A47" s="5">
        <v>12</v>
      </c>
      <c r="B47" s="5" t="s">
        <v>15</v>
      </c>
      <c r="C47" s="5" t="s">
        <v>146</v>
      </c>
      <c r="D47" s="5">
        <v>153</v>
      </c>
      <c r="E47" s="5" t="s">
        <v>674</v>
      </c>
      <c r="F47" s="5" t="s">
        <v>45</v>
      </c>
      <c r="G47" s="27" t="s">
        <v>675</v>
      </c>
      <c r="H47" s="8" t="s">
        <v>591</v>
      </c>
      <c r="I47" s="8"/>
      <c r="J47" s="8"/>
      <c r="K47" s="25"/>
      <c r="L47" s="26"/>
      <c r="M47" s="8"/>
      <c r="N47" s="9" t="str">
        <f>IF($K47="","",$K47+Dashboard!$B$5)</f>
        <v/>
      </c>
      <c r="O47" s="9" t="str">
        <f>IF($K47="","",$K47+Dashboard!$B$6)</f>
        <v/>
      </c>
      <c r="P47" s="9" t="str">
        <f>IF($K47="","",$K47+Dashboard!$B$7)</f>
        <v/>
      </c>
      <c r="Q47" s="9" t="str">
        <f t="shared" ca="1" si="0"/>
        <v/>
      </c>
    </row>
    <row r="48" spans="1:17" ht="25.5">
      <c r="A48" s="5">
        <v>12</v>
      </c>
      <c r="B48" s="5" t="s">
        <v>15</v>
      </c>
      <c r="C48" s="5" t="s">
        <v>146</v>
      </c>
      <c r="D48" s="5">
        <v>875</v>
      </c>
      <c r="E48" s="5" t="s">
        <v>676</v>
      </c>
      <c r="F48" s="5" t="s">
        <v>45</v>
      </c>
      <c r="G48" s="27" t="s">
        <v>677</v>
      </c>
      <c r="H48" s="8" t="s">
        <v>591</v>
      </c>
      <c r="I48" s="8"/>
      <c r="J48" s="8"/>
      <c r="K48" s="25"/>
      <c r="L48" s="26"/>
      <c r="M48" s="8"/>
      <c r="N48" s="9" t="str">
        <f>IF($K48="","",$K48+Dashboard!$B$5)</f>
        <v/>
      </c>
      <c r="O48" s="9" t="str">
        <f>IF($K48="","",$K48+Dashboard!$B$6)</f>
        <v/>
      </c>
      <c r="P48" s="9" t="str">
        <f>IF($K48="","",$K48+Dashboard!$B$7)</f>
        <v/>
      </c>
      <c r="Q48" s="9" t="str">
        <f t="shared" ca="1" si="0"/>
        <v/>
      </c>
    </row>
    <row r="49" spans="1:17" ht="25.5">
      <c r="A49" s="5">
        <v>12</v>
      </c>
      <c r="B49" s="5" t="s">
        <v>15</v>
      </c>
      <c r="C49" s="5" t="s">
        <v>146</v>
      </c>
      <c r="D49" s="5">
        <v>4</v>
      </c>
      <c r="E49" s="5" t="s">
        <v>678</v>
      </c>
      <c r="F49" s="5" t="s">
        <v>47</v>
      </c>
      <c r="G49" s="27" t="s">
        <v>679</v>
      </c>
      <c r="H49" s="8" t="s">
        <v>591</v>
      </c>
      <c r="I49" s="8"/>
      <c r="J49" s="8"/>
      <c r="K49" s="25"/>
      <c r="L49" s="26"/>
      <c r="M49" s="8"/>
      <c r="N49" s="9" t="str">
        <f>IF($K49="","",$K49+Dashboard!$B$5)</f>
        <v/>
      </c>
      <c r="O49" s="9" t="str">
        <f>IF($K49="","",$K49+Dashboard!$B$6)</f>
        <v/>
      </c>
      <c r="P49" s="9" t="str">
        <f>IF($K49="","",$K49+Dashboard!$B$7)</f>
        <v/>
      </c>
      <c r="Q49" s="9" t="str">
        <f t="shared" ca="1" si="0"/>
        <v/>
      </c>
    </row>
    <row r="50" spans="1:17" ht="25.5">
      <c r="A50" s="5">
        <v>13</v>
      </c>
      <c r="B50" s="5" t="s">
        <v>15</v>
      </c>
      <c r="C50" s="5" t="s">
        <v>151</v>
      </c>
      <c r="D50" s="5">
        <v>912</v>
      </c>
      <c r="E50" s="5" t="s">
        <v>680</v>
      </c>
      <c r="F50" s="5" t="s">
        <v>45</v>
      </c>
      <c r="G50" s="27" t="s">
        <v>681</v>
      </c>
      <c r="H50" s="8" t="s">
        <v>591</v>
      </c>
      <c r="I50" s="8"/>
      <c r="J50" s="8"/>
      <c r="K50" s="25"/>
      <c r="L50" s="26"/>
      <c r="M50" s="8"/>
      <c r="N50" s="9" t="str">
        <f>IF($K50="","",$K50+Dashboard!$B$5)</f>
        <v/>
      </c>
      <c r="O50" s="9" t="str">
        <f>IF($K50="","",$K50+Dashboard!$B$6)</f>
        <v/>
      </c>
      <c r="P50" s="9" t="str">
        <f>IF($K50="","",$K50+Dashboard!$B$7)</f>
        <v/>
      </c>
      <c r="Q50" s="9" t="str">
        <f t="shared" ca="1" si="0"/>
        <v/>
      </c>
    </row>
    <row r="51" spans="1:17">
      <c r="A51" s="5">
        <v>13</v>
      </c>
      <c r="B51" s="5" t="s">
        <v>15</v>
      </c>
      <c r="C51" s="5" t="s">
        <v>151</v>
      </c>
      <c r="D51" s="5">
        <v>75</v>
      </c>
      <c r="E51" s="5" t="s">
        <v>682</v>
      </c>
      <c r="F51" s="5" t="s">
        <v>45</v>
      </c>
      <c r="G51" s="27" t="s">
        <v>683</v>
      </c>
      <c r="H51" s="8" t="s">
        <v>591</v>
      </c>
      <c r="I51" s="8"/>
      <c r="J51" s="8"/>
      <c r="K51" s="25"/>
      <c r="L51" s="26"/>
      <c r="M51" s="8"/>
      <c r="N51" s="9" t="str">
        <f>IF($K51="","",$K51+Dashboard!$B$5)</f>
        <v/>
      </c>
      <c r="O51" s="9" t="str">
        <f>IF($K51="","",$K51+Dashboard!$B$6)</f>
        <v/>
      </c>
      <c r="P51" s="9" t="str">
        <f>IF($K51="","",$K51+Dashboard!$B$7)</f>
        <v/>
      </c>
      <c r="Q51" s="9" t="str">
        <f t="shared" ca="1" si="0"/>
        <v/>
      </c>
    </row>
    <row r="52" spans="1:17" ht="25.5">
      <c r="A52" s="5">
        <v>13</v>
      </c>
      <c r="B52" s="5" t="s">
        <v>15</v>
      </c>
      <c r="C52" s="5" t="s">
        <v>151</v>
      </c>
      <c r="D52" s="5">
        <v>215</v>
      </c>
      <c r="E52" s="5" t="s">
        <v>684</v>
      </c>
      <c r="F52" s="5" t="s">
        <v>45</v>
      </c>
      <c r="G52" s="27" t="s">
        <v>685</v>
      </c>
      <c r="H52" s="8" t="s">
        <v>591</v>
      </c>
      <c r="I52" s="8"/>
      <c r="J52" s="8"/>
      <c r="K52" s="25"/>
      <c r="L52" s="26"/>
      <c r="M52" s="8"/>
      <c r="N52" s="9" t="str">
        <f>IF($K52="","",$K52+Dashboard!$B$5)</f>
        <v/>
      </c>
      <c r="O52" s="9" t="str">
        <f>IF($K52="","",$K52+Dashboard!$B$6)</f>
        <v/>
      </c>
      <c r="P52" s="9" t="str">
        <f>IF($K52="","",$K52+Dashboard!$B$7)</f>
        <v/>
      </c>
      <c r="Q52" s="9" t="str">
        <f t="shared" ca="1" si="0"/>
        <v/>
      </c>
    </row>
    <row r="53" spans="1:17" ht="25.5">
      <c r="A53" s="5">
        <v>13</v>
      </c>
      <c r="B53" s="5" t="s">
        <v>15</v>
      </c>
      <c r="C53" s="5" t="s">
        <v>151</v>
      </c>
      <c r="D53" s="5">
        <v>56</v>
      </c>
      <c r="E53" s="5" t="s">
        <v>686</v>
      </c>
      <c r="F53" s="5" t="s">
        <v>45</v>
      </c>
      <c r="G53" s="27" t="s">
        <v>687</v>
      </c>
      <c r="H53" s="8" t="s">
        <v>591</v>
      </c>
      <c r="I53" s="8"/>
      <c r="J53" s="8"/>
      <c r="K53" s="25"/>
      <c r="L53" s="26"/>
      <c r="M53" s="8"/>
      <c r="N53" s="9" t="str">
        <f>IF($K53="","",$K53+Dashboard!$B$5)</f>
        <v/>
      </c>
      <c r="O53" s="9" t="str">
        <f>IF($K53="","",$K53+Dashboard!$B$6)</f>
        <v/>
      </c>
      <c r="P53" s="9" t="str">
        <f>IF($K53="","",$K53+Dashboard!$B$7)</f>
        <v/>
      </c>
      <c r="Q53" s="9" t="str">
        <f t="shared" ca="1" si="0"/>
        <v/>
      </c>
    </row>
    <row r="54" spans="1:17" ht="25.5">
      <c r="A54" s="5">
        <v>14</v>
      </c>
      <c r="B54" s="5" t="s">
        <v>15</v>
      </c>
      <c r="C54" s="5" t="s">
        <v>156</v>
      </c>
      <c r="D54" s="5">
        <v>189</v>
      </c>
      <c r="E54" s="5" t="s">
        <v>688</v>
      </c>
      <c r="F54" s="5" t="s">
        <v>45</v>
      </c>
      <c r="G54" s="27" t="s">
        <v>689</v>
      </c>
      <c r="H54" s="8" t="s">
        <v>591</v>
      </c>
      <c r="I54" s="8"/>
      <c r="J54" s="8"/>
      <c r="K54" s="25"/>
      <c r="L54" s="26"/>
      <c r="M54" s="8"/>
      <c r="N54" s="9" t="str">
        <f>IF($K54="","",$K54+Dashboard!$B$5)</f>
        <v/>
      </c>
      <c r="O54" s="9" t="str">
        <f>IF($K54="","",$K54+Dashboard!$B$6)</f>
        <v/>
      </c>
      <c r="P54" s="9" t="str">
        <f>IF($K54="","",$K54+Dashboard!$B$7)</f>
        <v/>
      </c>
      <c r="Q54" s="9" t="str">
        <f t="shared" ca="1" si="0"/>
        <v/>
      </c>
    </row>
    <row r="55" spans="1:17" ht="25.5">
      <c r="A55" s="5">
        <v>14</v>
      </c>
      <c r="B55" s="5" t="s">
        <v>15</v>
      </c>
      <c r="C55" s="5" t="s">
        <v>156</v>
      </c>
      <c r="D55" s="5">
        <v>48</v>
      </c>
      <c r="E55" s="5" t="s">
        <v>690</v>
      </c>
      <c r="F55" s="5" t="s">
        <v>45</v>
      </c>
      <c r="G55" s="27" t="s">
        <v>691</v>
      </c>
      <c r="H55" s="8" t="s">
        <v>591</v>
      </c>
      <c r="I55" s="8"/>
      <c r="J55" s="8"/>
      <c r="K55" s="25"/>
      <c r="L55" s="26"/>
      <c r="M55" s="8"/>
      <c r="N55" s="9" t="str">
        <f>IF($K55="","",$K55+Dashboard!$B$5)</f>
        <v/>
      </c>
      <c r="O55" s="9" t="str">
        <f>IF($K55="","",$K55+Dashboard!$B$6)</f>
        <v/>
      </c>
      <c r="P55" s="9" t="str">
        <f>IF($K55="","",$K55+Dashboard!$B$7)</f>
        <v/>
      </c>
      <c r="Q55" s="9" t="str">
        <f t="shared" ca="1" si="0"/>
        <v/>
      </c>
    </row>
    <row r="56" spans="1:17" ht="25.5">
      <c r="A56" s="5">
        <v>14</v>
      </c>
      <c r="B56" s="5" t="s">
        <v>15</v>
      </c>
      <c r="C56" s="5" t="s">
        <v>156</v>
      </c>
      <c r="D56" s="5">
        <v>54</v>
      </c>
      <c r="E56" s="5" t="s">
        <v>692</v>
      </c>
      <c r="F56" s="5" t="s">
        <v>45</v>
      </c>
      <c r="G56" s="27" t="s">
        <v>693</v>
      </c>
      <c r="H56" s="8" t="s">
        <v>591</v>
      </c>
      <c r="I56" s="8"/>
      <c r="J56" s="8"/>
      <c r="K56" s="25"/>
      <c r="L56" s="26"/>
      <c r="M56" s="8"/>
      <c r="N56" s="9" t="str">
        <f>IF($K56="","",$K56+Dashboard!$B$5)</f>
        <v/>
      </c>
      <c r="O56" s="9" t="str">
        <f>IF($K56="","",$K56+Dashboard!$B$6)</f>
        <v/>
      </c>
      <c r="P56" s="9" t="str">
        <f>IF($K56="","",$K56+Dashboard!$B$7)</f>
        <v/>
      </c>
      <c r="Q56" s="9" t="str">
        <f t="shared" ca="1" si="0"/>
        <v/>
      </c>
    </row>
    <row r="57" spans="1:17" ht="25.5">
      <c r="A57" s="5">
        <v>14</v>
      </c>
      <c r="B57" s="5" t="s">
        <v>15</v>
      </c>
      <c r="C57" s="5" t="s">
        <v>156</v>
      </c>
      <c r="D57" s="5">
        <v>73</v>
      </c>
      <c r="E57" s="5" t="s">
        <v>694</v>
      </c>
      <c r="F57" s="5" t="s">
        <v>45</v>
      </c>
      <c r="G57" s="27" t="s">
        <v>695</v>
      </c>
      <c r="H57" s="8" t="s">
        <v>591</v>
      </c>
      <c r="I57" s="8"/>
      <c r="J57" s="8"/>
      <c r="K57" s="25"/>
      <c r="L57" s="26"/>
      <c r="M57" s="8"/>
      <c r="N57" s="9" t="str">
        <f>IF($K57="","",$K57+Dashboard!$B$5)</f>
        <v/>
      </c>
      <c r="O57" s="9" t="str">
        <f>IF($K57="","",$K57+Dashboard!$B$6)</f>
        <v/>
      </c>
      <c r="P57" s="9" t="str">
        <f>IF($K57="","",$K57+Dashboard!$B$7)</f>
        <v/>
      </c>
      <c r="Q57" s="9" t="str">
        <f t="shared" ca="1" si="0"/>
        <v/>
      </c>
    </row>
    <row r="58" spans="1:17" ht="25.5">
      <c r="A58" s="5">
        <v>15</v>
      </c>
      <c r="B58" s="5" t="s">
        <v>15</v>
      </c>
      <c r="C58" s="5" t="s">
        <v>161</v>
      </c>
      <c r="D58" s="5">
        <v>20</v>
      </c>
      <c r="E58" s="5" t="s">
        <v>696</v>
      </c>
      <c r="F58" s="5" t="s">
        <v>43</v>
      </c>
      <c r="G58" s="27" t="s">
        <v>697</v>
      </c>
      <c r="H58" s="8" t="s">
        <v>591</v>
      </c>
      <c r="I58" s="8"/>
      <c r="J58" s="8"/>
      <c r="K58" s="25"/>
      <c r="L58" s="26"/>
      <c r="M58" s="8"/>
      <c r="N58" s="9" t="str">
        <f>IF($K58="","",$K58+Dashboard!$B$5)</f>
        <v/>
      </c>
      <c r="O58" s="9" t="str">
        <f>IF($K58="","",$K58+Dashboard!$B$6)</f>
        <v/>
      </c>
      <c r="P58" s="9" t="str">
        <f>IF($K58="","",$K58+Dashboard!$B$7)</f>
        <v/>
      </c>
      <c r="Q58" s="9" t="str">
        <f t="shared" ca="1" si="0"/>
        <v/>
      </c>
    </row>
    <row r="59" spans="1:17">
      <c r="A59" s="5">
        <v>15</v>
      </c>
      <c r="B59" s="5" t="s">
        <v>15</v>
      </c>
      <c r="C59" s="5" t="s">
        <v>161</v>
      </c>
      <c r="D59" s="5">
        <v>155</v>
      </c>
      <c r="E59" s="5" t="s">
        <v>698</v>
      </c>
      <c r="F59" s="5" t="s">
        <v>45</v>
      </c>
      <c r="G59" s="27" t="s">
        <v>699</v>
      </c>
      <c r="H59" s="8" t="s">
        <v>591</v>
      </c>
      <c r="I59" s="8"/>
      <c r="J59" s="8"/>
      <c r="K59" s="25"/>
      <c r="L59" s="26"/>
      <c r="M59" s="8"/>
      <c r="N59" s="9" t="str">
        <f>IF($K59="","",$K59+Dashboard!$B$5)</f>
        <v/>
      </c>
      <c r="O59" s="9" t="str">
        <f>IF($K59="","",$K59+Dashboard!$B$6)</f>
        <v/>
      </c>
      <c r="P59" s="9" t="str">
        <f>IF($K59="","",$K59+Dashboard!$B$7)</f>
        <v/>
      </c>
      <c r="Q59" s="9" t="str">
        <f t="shared" ca="1" si="0"/>
        <v/>
      </c>
    </row>
    <row r="60" spans="1:17" ht="25.5">
      <c r="A60" s="5">
        <v>15</v>
      </c>
      <c r="B60" s="5" t="s">
        <v>15</v>
      </c>
      <c r="C60" s="5" t="s">
        <v>161</v>
      </c>
      <c r="D60" s="5">
        <v>150</v>
      </c>
      <c r="E60" s="5" t="s">
        <v>700</v>
      </c>
      <c r="F60" s="5" t="s">
        <v>45</v>
      </c>
      <c r="G60" s="27" t="s">
        <v>701</v>
      </c>
      <c r="H60" s="8" t="s">
        <v>591</v>
      </c>
      <c r="I60" s="8"/>
      <c r="J60" s="8"/>
      <c r="K60" s="25"/>
      <c r="L60" s="26"/>
      <c r="M60" s="8"/>
      <c r="N60" s="9" t="str">
        <f>IF($K60="","",$K60+Dashboard!$B$5)</f>
        <v/>
      </c>
      <c r="O60" s="9" t="str">
        <f>IF($K60="","",$K60+Dashboard!$B$6)</f>
        <v/>
      </c>
      <c r="P60" s="9" t="str">
        <f>IF($K60="","",$K60+Dashboard!$B$7)</f>
        <v/>
      </c>
      <c r="Q60" s="9" t="str">
        <f t="shared" ca="1" si="0"/>
        <v/>
      </c>
    </row>
    <row r="61" spans="1:17" ht="25.5">
      <c r="A61" s="5">
        <v>15</v>
      </c>
      <c r="B61" s="5" t="s">
        <v>15</v>
      </c>
      <c r="C61" s="5" t="s">
        <v>161</v>
      </c>
      <c r="D61" s="5">
        <v>71</v>
      </c>
      <c r="E61" s="5" t="s">
        <v>702</v>
      </c>
      <c r="F61" s="5" t="s">
        <v>45</v>
      </c>
      <c r="G61" s="27" t="s">
        <v>703</v>
      </c>
      <c r="H61" s="8" t="s">
        <v>591</v>
      </c>
      <c r="I61" s="8"/>
      <c r="J61" s="8"/>
      <c r="K61" s="25"/>
      <c r="L61" s="26"/>
      <c r="M61" s="8"/>
      <c r="N61" s="9" t="str">
        <f>IF($K61="","",$K61+Dashboard!$B$5)</f>
        <v/>
      </c>
      <c r="O61" s="9" t="str">
        <f>IF($K61="","",$K61+Dashboard!$B$6)</f>
        <v/>
      </c>
      <c r="P61" s="9" t="str">
        <f>IF($K61="","",$K61+Dashboard!$B$7)</f>
        <v/>
      </c>
      <c r="Q61" s="9" t="str">
        <f t="shared" ca="1" si="0"/>
        <v/>
      </c>
    </row>
    <row r="62" spans="1:17" ht="25.5">
      <c r="A62" s="5">
        <v>16</v>
      </c>
      <c r="B62" s="5" t="s">
        <v>15</v>
      </c>
      <c r="C62" s="5" t="s">
        <v>166</v>
      </c>
      <c r="D62" s="5">
        <v>739</v>
      </c>
      <c r="E62" s="5" t="s">
        <v>704</v>
      </c>
      <c r="F62" s="5" t="s">
        <v>45</v>
      </c>
      <c r="G62" s="27" t="s">
        <v>705</v>
      </c>
      <c r="H62" s="8" t="s">
        <v>591</v>
      </c>
      <c r="I62" s="8"/>
      <c r="J62" s="8"/>
      <c r="K62" s="25"/>
      <c r="L62" s="26"/>
      <c r="M62" s="8"/>
      <c r="N62" s="9" t="str">
        <f>IF($K62="","",$K62+Dashboard!$B$5)</f>
        <v/>
      </c>
      <c r="O62" s="9" t="str">
        <f>IF($K62="","",$K62+Dashboard!$B$6)</f>
        <v/>
      </c>
      <c r="P62" s="9" t="str">
        <f>IF($K62="","",$K62+Dashboard!$B$7)</f>
        <v/>
      </c>
      <c r="Q62" s="9" t="str">
        <f t="shared" ca="1" si="0"/>
        <v/>
      </c>
    </row>
    <row r="63" spans="1:17" ht="25.5">
      <c r="A63" s="5">
        <v>16</v>
      </c>
      <c r="B63" s="5" t="s">
        <v>15</v>
      </c>
      <c r="C63" s="5" t="s">
        <v>166</v>
      </c>
      <c r="D63" s="5">
        <v>496</v>
      </c>
      <c r="E63" s="5" t="s">
        <v>706</v>
      </c>
      <c r="F63" s="5" t="s">
        <v>43</v>
      </c>
      <c r="G63" s="27" t="s">
        <v>707</v>
      </c>
      <c r="H63" s="8" t="s">
        <v>591</v>
      </c>
      <c r="I63" s="8"/>
      <c r="J63" s="8"/>
      <c r="K63" s="25"/>
      <c r="L63" s="26"/>
      <c r="M63" s="8"/>
      <c r="N63" s="9" t="str">
        <f>IF($K63="","",$K63+Dashboard!$B$5)</f>
        <v/>
      </c>
      <c r="O63" s="9" t="str">
        <f>IF($K63="","",$K63+Dashboard!$B$6)</f>
        <v/>
      </c>
      <c r="P63" s="9" t="str">
        <f>IF($K63="","",$K63+Dashboard!$B$7)</f>
        <v/>
      </c>
      <c r="Q63" s="9" t="str">
        <f t="shared" ca="1" si="0"/>
        <v/>
      </c>
    </row>
    <row r="64" spans="1:17" ht="25.5">
      <c r="A64" s="5">
        <v>16</v>
      </c>
      <c r="B64" s="5" t="s">
        <v>15</v>
      </c>
      <c r="C64" s="5" t="s">
        <v>166</v>
      </c>
      <c r="D64" s="5">
        <v>503</v>
      </c>
      <c r="E64" s="5" t="s">
        <v>708</v>
      </c>
      <c r="F64" s="5" t="s">
        <v>45</v>
      </c>
      <c r="G64" s="27" t="s">
        <v>709</v>
      </c>
      <c r="H64" s="8" t="s">
        <v>591</v>
      </c>
      <c r="I64" s="8"/>
      <c r="J64" s="8"/>
      <c r="K64" s="25"/>
      <c r="L64" s="26"/>
      <c r="M64" s="8"/>
      <c r="N64" s="9" t="str">
        <f>IF($K64="","",$K64+Dashboard!$B$5)</f>
        <v/>
      </c>
      <c r="O64" s="9" t="str">
        <f>IF($K64="","",$K64+Dashboard!$B$6)</f>
        <v/>
      </c>
      <c r="P64" s="9" t="str">
        <f>IF($K64="","",$K64+Dashboard!$B$7)</f>
        <v/>
      </c>
      <c r="Q64" s="9" t="str">
        <f t="shared" ca="1" si="0"/>
        <v/>
      </c>
    </row>
    <row r="65" spans="1:17" ht="25.5">
      <c r="A65" s="5">
        <v>16</v>
      </c>
      <c r="B65" s="5" t="s">
        <v>15</v>
      </c>
      <c r="C65" s="5" t="s">
        <v>166</v>
      </c>
      <c r="D65" s="5">
        <v>84</v>
      </c>
      <c r="E65" s="5" t="s">
        <v>710</v>
      </c>
      <c r="F65" s="5" t="s">
        <v>47</v>
      </c>
      <c r="G65" s="27" t="s">
        <v>711</v>
      </c>
      <c r="H65" s="8" t="s">
        <v>591</v>
      </c>
      <c r="I65" s="8"/>
      <c r="J65" s="8"/>
      <c r="K65" s="25"/>
      <c r="L65" s="26"/>
      <c r="M65" s="8"/>
      <c r="N65" s="9" t="str">
        <f>IF($K65="","",$K65+Dashboard!$B$5)</f>
        <v/>
      </c>
      <c r="O65" s="9" t="str">
        <f>IF($K65="","",$K65+Dashboard!$B$6)</f>
        <v/>
      </c>
      <c r="P65" s="9" t="str">
        <f>IF($K65="","",$K65+Dashboard!$B$7)</f>
        <v/>
      </c>
      <c r="Q65" s="9" t="str">
        <f t="shared" ca="1" si="0"/>
        <v/>
      </c>
    </row>
    <row r="66" spans="1:17" ht="25.5">
      <c r="A66" s="5">
        <v>17</v>
      </c>
      <c r="B66" s="5" t="s">
        <v>15</v>
      </c>
      <c r="C66" s="5" t="s">
        <v>171</v>
      </c>
      <c r="D66" s="5">
        <v>232</v>
      </c>
      <c r="E66" s="5" t="s">
        <v>712</v>
      </c>
      <c r="F66" s="5" t="s">
        <v>43</v>
      </c>
      <c r="G66" s="27" t="s">
        <v>713</v>
      </c>
      <c r="H66" s="8" t="s">
        <v>591</v>
      </c>
      <c r="I66" s="8"/>
      <c r="J66" s="8"/>
      <c r="K66" s="25"/>
      <c r="L66" s="26"/>
      <c r="M66" s="8"/>
      <c r="N66" s="9" t="str">
        <f>IF($K66="","",$K66+Dashboard!$B$5)</f>
        <v/>
      </c>
      <c r="O66" s="9" t="str">
        <f>IF($K66="","",$K66+Dashboard!$B$6)</f>
        <v/>
      </c>
      <c r="P66" s="9" t="str">
        <f>IF($K66="","",$K66+Dashboard!$B$7)</f>
        <v/>
      </c>
      <c r="Q66" s="9" t="str">
        <f t="shared" ca="1" si="0"/>
        <v/>
      </c>
    </row>
    <row r="67" spans="1:17" ht="25.5">
      <c r="A67" s="5">
        <v>17</v>
      </c>
      <c r="B67" s="5" t="s">
        <v>15</v>
      </c>
      <c r="C67" s="5" t="s">
        <v>171</v>
      </c>
      <c r="D67" s="5">
        <v>225</v>
      </c>
      <c r="E67" s="5" t="s">
        <v>714</v>
      </c>
      <c r="F67" s="5" t="s">
        <v>43</v>
      </c>
      <c r="G67" s="27" t="s">
        <v>715</v>
      </c>
      <c r="H67" s="8" t="s">
        <v>591</v>
      </c>
      <c r="I67" s="8"/>
      <c r="J67" s="8"/>
      <c r="K67" s="25"/>
      <c r="L67" s="26"/>
      <c r="M67" s="8"/>
      <c r="N67" s="9" t="str">
        <f>IF($K67="","",$K67+Dashboard!$B$5)</f>
        <v/>
      </c>
      <c r="O67" s="9" t="str">
        <f>IF($K67="","",$K67+Dashboard!$B$6)</f>
        <v/>
      </c>
      <c r="P67" s="9" t="str">
        <f>IF($K67="","",$K67+Dashboard!$B$7)</f>
        <v/>
      </c>
      <c r="Q67" s="9" t="str">
        <f t="shared" ca="1" si="0"/>
        <v/>
      </c>
    </row>
    <row r="68" spans="1:17" ht="25.5">
      <c r="A68" s="5">
        <v>17</v>
      </c>
      <c r="B68" s="5" t="s">
        <v>15</v>
      </c>
      <c r="C68" s="5" t="s">
        <v>171</v>
      </c>
      <c r="D68" s="5">
        <v>622</v>
      </c>
      <c r="E68" s="5" t="s">
        <v>716</v>
      </c>
      <c r="F68" s="5" t="s">
        <v>45</v>
      </c>
      <c r="G68" s="27" t="s">
        <v>717</v>
      </c>
      <c r="H68" s="8" t="s">
        <v>591</v>
      </c>
      <c r="I68" s="8"/>
      <c r="J68" s="8"/>
      <c r="K68" s="25"/>
      <c r="L68" s="26"/>
      <c r="M68" s="8"/>
      <c r="N68" s="9" t="str">
        <f>IF($K68="","",$K68+Dashboard!$B$5)</f>
        <v/>
      </c>
      <c r="O68" s="9" t="str">
        <f>IF($K68="","",$K68+Dashboard!$B$6)</f>
        <v/>
      </c>
      <c r="P68" s="9" t="str">
        <f>IF($K68="","",$K68+Dashboard!$B$7)</f>
        <v/>
      </c>
      <c r="Q68" s="9" t="str">
        <f t="shared" ca="1" si="0"/>
        <v/>
      </c>
    </row>
    <row r="69" spans="1:17" ht="25.5">
      <c r="A69" s="5">
        <v>17</v>
      </c>
      <c r="B69" s="5" t="s">
        <v>15</v>
      </c>
      <c r="C69" s="5" t="s">
        <v>171</v>
      </c>
      <c r="D69" s="5">
        <v>239</v>
      </c>
      <c r="E69" s="5" t="s">
        <v>718</v>
      </c>
      <c r="F69" s="5" t="s">
        <v>47</v>
      </c>
      <c r="G69" s="27" t="s">
        <v>719</v>
      </c>
      <c r="H69" s="8" t="s">
        <v>591</v>
      </c>
      <c r="I69" s="8"/>
      <c r="J69" s="8"/>
      <c r="K69" s="25"/>
      <c r="L69" s="26"/>
      <c r="M69" s="8"/>
      <c r="N69" s="9" t="str">
        <f>IF($K69="","",$K69+Dashboard!$B$5)</f>
        <v/>
      </c>
      <c r="O69" s="9" t="str">
        <f>IF($K69="","",$K69+Dashboard!$B$6)</f>
        <v/>
      </c>
      <c r="P69" s="9" t="str">
        <f>IF($K69="","",$K69+Dashboard!$B$7)</f>
        <v/>
      </c>
      <c r="Q69" s="9" t="str">
        <f t="shared" ref="Q69:Q132" ca="1" si="1">IF($K69="","",IF(TODAY()&lt;=N69,N69,IF(TODAY()&lt;=O69,O69,IF(TODAY()&lt;=P69,P69,"Đã ôn đủ"))))</f>
        <v/>
      </c>
    </row>
    <row r="70" spans="1:17" ht="25.5">
      <c r="A70" s="5">
        <v>18</v>
      </c>
      <c r="B70" s="5" t="s">
        <v>15</v>
      </c>
      <c r="C70" s="5" t="s">
        <v>176</v>
      </c>
      <c r="D70" s="5">
        <v>206</v>
      </c>
      <c r="E70" s="5" t="s">
        <v>720</v>
      </c>
      <c r="F70" s="5" t="s">
        <v>43</v>
      </c>
      <c r="G70" s="27" t="s">
        <v>721</v>
      </c>
      <c r="H70" s="8" t="s">
        <v>591</v>
      </c>
      <c r="I70" s="8"/>
      <c r="J70" s="8"/>
      <c r="K70" s="25"/>
      <c r="L70" s="26"/>
      <c r="M70" s="8"/>
      <c r="N70" s="9" t="str">
        <f>IF($K70="","",$K70+Dashboard!$B$5)</f>
        <v/>
      </c>
      <c r="O70" s="9" t="str">
        <f>IF($K70="","",$K70+Dashboard!$B$6)</f>
        <v/>
      </c>
      <c r="P70" s="9" t="str">
        <f>IF($K70="","",$K70+Dashboard!$B$7)</f>
        <v/>
      </c>
      <c r="Q70" s="9" t="str">
        <f t="shared" ca="1" si="1"/>
        <v/>
      </c>
    </row>
    <row r="71" spans="1:17" ht="25.5">
      <c r="A71" s="5">
        <v>18</v>
      </c>
      <c r="B71" s="5" t="s">
        <v>15</v>
      </c>
      <c r="C71" s="5" t="s">
        <v>176</v>
      </c>
      <c r="D71" s="5">
        <v>21</v>
      </c>
      <c r="E71" s="5" t="s">
        <v>722</v>
      </c>
      <c r="F71" s="5" t="s">
        <v>43</v>
      </c>
      <c r="G71" s="27" t="s">
        <v>723</v>
      </c>
      <c r="H71" s="8" t="s">
        <v>591</v>
      </c>
      <c r="I71" s="8"/>
      <c r="J71" s="8"/>
      <c r="K71" s="25"/>
      <c r="L71" s="26"/>
      <c r="M71" s="8"/>
      <c r="N71" s="9" t="str">
        <f>IF($K71="","",$K71+Dashboard!$B$5)</f>
        <v/>
      </c>
      <c r="O71" s="9" t="str">
        <f>IF($K71="","",$K71+Dashboard!$B$6)</f>
        <v/>
      </c>
      <c r="P71" s="9" t="str">
        <f>IF($K71="","",$K71+Dashboard!$B$7)</f>
        <v/>
      </c>
      <c r="Q71" s="9" t="str">
        <f t="shared" ca="1" si="1"/>
        <v/>
      </c>
    </row>
    <row r="72" spans="1:17" ht="25.5">
      <c r="A72" s="5">
        <v>18</v>
      </c>
      <c r="B72" s="5" t="s">
        <v>15</v>
      </c>
      <c r="C72" s="5" t="s">
        <v>176</v>
      </c>
      <c r="D72" s="5">
        <v>141</v>
      </c>
      <c r="E72" s="5" t="s">
        <v>724</v>
      </c>
      <c r="F72" s="5" t="s">
        <v>43</v>
      </c>
      <c r="G72" s="27" t="s">
        <v>725</v>
      </c>
      <c r="H72" s="8" t="s">
        <v>591</v>
      </c>
      <c r="I72" s="8"/>
      <c r="J72" s="8"/>
      <c r="K72" s="25"/>
      <c r="L72" s="26"/>
      <c r="M72" s="8"/>
      <c r="N72" s="9" t="str">
        <f>IF($K72="","",$K72+Dashboard!$B$5)</f>
        <v/>
      </c>
      <c r="O72" s="9" t="str">
        <f>IF($K72="","",$K72+Dashboard!$B$6)</f>
        <v/>
      </c>
      <c r="P72" s="9" t="str">
        <f>IF($K72="","",$K72+Dashboard!$B$7)</f>
        <v/>
      </c>
      <c r="Q72" s="9" t="str">
        <f t="shared" ca="1" si="1"/>
        <v/>
      </c>
    </row>
    <row r="73" spans="1:17" ht="25.5">
      <c r="A73" s="5">
        <v>18</v>
      </c>
      <c r="B73" s="5" t="s">
        <v>15</v>
      </c>
      <c r="C73" s="5" t="s">
        <v>176</v>
      </c>
      <c r="D73" s="5">
        <v>142</v>
      </c>
      <c r="E73" s="5" t="s">
        <v>726</v>
      </c>
      <c r="F73" s="5" t="s">
        <v>45</v>
      </c>
      <c r="G73" s="27" t="s">
        <v>727</v>
      </c>
      <c r="H73" s="8" t="s">
        <v>591</v>
      </c>
      <c r="I73" s="8"/>
      <c r="J73" s="8"/>
      <c r="K73" s="25"/>
      <c r="L73" s="26"/>
      <c r="M73" s="8"/>
      <c r="N73" s="9" t="str">
        <f>IF($K73="","",$K73+Dashboard!$B$5)</f>
        <v/>
      </c>
      <c r="O73" s="9" t="str">
        <f>IF($K73="","",$K73+Dashboard!$B$6)</f>
        <v/>
      </c>
      <c r="P73" s="9" t="str">
        <f>IF($K73="","",$K73+Dashboard!$B$7)</f>
        <v/>
      </c>
      <c r="Q73" s="9" t="str">
        <f t="shared" ca="1" si="1"/>
        <v/>
      </c>
    </row>
    <row r="74" spans="1:17" ht="25.5">
      <c r="A74" s="5">
        <v>19</v>
      </c>
      <c r="B74" s="5" t="s">
        <v>15</v>
      </c>
      <c r="C74" s="5" t="s">
        <v>181</v>
      </c>
      <c r="D74" s="5">
        <v>19</v>
      </c>
      <c r="E74" s="5" t="s">
        <v>728</v>
      </c>
      <c r="F74" s="5" t="s">
        <v>45</v>
      </c>
      <c r="G74" s="27" t="s">
        <v>729</v>
      </c>
      <c r="H74" s="8" t="s">
        <v>591</v>
      </c>
      <c r="I74" s="8"/>
      <c r="J74" s="8"/>
      <c r="K74" s="25"/>
      <c r="L74" s="26"/>
      <c r="M74" s="8"/>
      <c r="N74" s="9" t="str">
        <f>IF($K74="","",$K74+Dashboard!$B$5)</f>
        <v/>
      </c>
      <c r="O74" s="9" t="str">
        <f>IF($K74="","",$K74+Dashboard!$B$6)</f>
        <v/>
      </c>
      <c r="P74" s="9" t="str">
        <f>IF($K74="","",$K74+Dashboard!$B$7)</f>
        <v/>
      </c>
      <c r="Q74" s="9" t="str">
        <f t="shared" ca="1" si="1"/>
        <v/>
      </c>
    </row>
    <row r="75" spans="1:17" ht="25.5">
      <c r="A75" s="5">
        <v>19</v>
      </c>
      <c r="B75" s="5" t="s">
        <v>15</v>
      </c>
      <c r="C75" s="5" t="s">
        <v>181</v>
      </c>
      <c r="D75" s="5">
        <v>2</v>
      </c>
      <c r="E75" s="5" t="s">
        <v>730</v>
      </c>
      <c r="F75" s="5" t="s">
        <v>45</v>
      </c>
      <c r="G75" s="27" t="s">
        <v>731</v>
      </c>
      <c r="H75" s="8" t="s">
        <v>591</v>
      </c>
      <c r="I75" s="8"/>
      <c r="J75" s="8"/>
      <c r="K75" s="25"/>
      <c r="L75" s="26"/>
      <c r="M75" s="8"/>
      <c r="N75" s="9" t="str">
        <f>IF($K75="","",$K75+Dashboard!$B$5)</f>
        <v/>
      </c>
      <c r="O75" s="9" t="str">
        <f>IF($K75="","",$K75+Dashboard!$B$6)</f>
        <v/>
      </c>
      <c r="P75" s="9" t="str">
        <f>IF($K75="","",$K75+Dashboard!$B$7)</f>
        <v/>
      </c>
      <c r="Q75" s="9" t="str">
        <f t="shared" ca="1" si="1"/>
        <v/>
      </c>
    </row>
    <row r="76" spans="1:17">
      <c r="A76" s="5">
        <v>19</v>
      </c>
      <c r="B76" s="5" t="s">
        <v>15</v>
      </c>
      <c r="C76" s="5" t="s">
        <v>181</v>
      </c>
      <c r="D76" s="5">
        <v>143</v>
      </c>
      <c r="E76" s="5" t="s">
        <v>732</v>
      </c>
      <c r="F76" s="5" t="s">
        <v>45</v>
      </c>
      <c r="G76" s="27" t="s">
        <v>733</v>
      </c>
      <c r="H76" s="8" t="s">
        <v>591</v>
      </c>
      <c r="I76" s="8"/>
      <c r="J76" s="8"/>
      <c r="K76" s="25"/>
      <c r="L76" s="26"/>
      <c r="M76" s="8"/>
      <c r="N76" s="9" t="str">
        <f>IF($K76="","",$K76+Dashboard!$B$5)</f>
        <v/>
      </c>
      <c r="O76" s="9" t="str">
        <f>IF($K76="","",$K76+Dashboard!$B$6)</f>
        <v/>
      </c>
      <c r="P76" s="9" t="str">
        <f>IF($K76="","",$K76+Dashboard!$B$7)</f>
        <v/>
      </c>
      <c r="Q76" s="9" t="str">
        <f t="shared" ca="1" si="1"/>
        <v/>
      </c>
    </row>
    <row r="77" spans="1:17" ht="25.5">
      <c r="A77" s="5">
        <v>19</v>
      </c>
      <c r="B77" s="5" t="s">
        <v>15</v>
      </c>
      <c r="C77" s="5" t="s">
        <v>181</v>
      </c>
      <c r="D77" s="5">
        <v>138</v>
      </c>
      <c r="E77" s="5" t="s">
        <v>734</v>
      </c>
      <c r="F77" s="5" t="s">
        <v>45</v>
      </c>
      <c r="G77" s="27" t="s">
        <v>735</v>
      </c>
      <c r="H77" s="8" t="s">
        <v>591</v>
      </c>
      <c r="I77" s="8"/>
      <c r="J77" s="8"/>
      <c r="K77" s="25"/>
      <c r="L77" s="26"/>
      <c r="M77" s="8"/>
      <c r="N77" s="9" t="str">
        <f>IF($K77="","",$K77+Dashboard!$B$5)</f>
        <v/>
      </c>
      <c r="O77" s="9" t="str">
        <f>IF($K77="","",$K77+Dashboard!$B$6)</f>
        <v/>
      </c>
      <c r="P77" s="9" t="str">
        <f>IF($K77="","",$K77+Dashboard!$B$7)</f>
        <v/>
      </c>
      <c r="Q77" s="9" t="str">
        <f t="shared" ca="1" si="1"/>
        <v/>
      </c>
    </row>
    <row r="78" spans="1:17" ht="25.5">
      <c r="A78" s="5">
        <v>20</v>
      </c>
      <c r="B78" s="5" t="s">
        <v>15</v>
      </c>
      <c r="C78" s="5" t="s">
        <v>186</v>
      </c>
      <c r="D78" s="5">
        <v>49</v>
      </c>
      <c r="E78" s="5" t="s">
        <v>736</v>
      </c>
      <c r="F78" s="5" t="s">
        <v>45</v>
      </c>
      <c r="G78" s="27" t="s">
        <v>737</v>
      </c>
      <c r="H78" s="8" t="s">
        <v>591</v>
      </c>
      <c r="I78" s="8"/>
      <c r="J78" s="8"/>
      <c r="K78" s="25"/>
      <c r="L78" s="26"/>
      <c r="M78" s="8"/>
      <c r="N78" s="9" t="str">
        <f>IF($K78="","",$K78+Dashboard!$B$5)</f>
        <v/>
      </c>
      <c r="O78" s="9" t="str">
        <f>IF($K78="","",$K78+Dashboard!$B$6)</f>
        <v/>
      </c>
      <c r="P78" s="9" t="str">
        <f>IF($K78="","",$K78+Dashboard!$B$7)</f>
        <v/>
      </c>
      <c r="Q78" s="9" t="str">
        <f t="shared" ca="1" si="1"/>
        <v/>
      </c>
    </row>
    <row r="79" spans="1:17" ht="25.5">
      <c r="A79" s="5">
        <v>20</v>
      </c>
      <c r="B79" s="5" t="s">
        <v>15</v>
      </c>
      <c r="C79" s="5" t="s">
        <v>186</v>
      </c>
      <c r="D79" s="5">
        <v>128</v>
      </c>
      <c r="E79" s="5" t="s">
        <v>738</v>
      </c>
      <c r="F79" s="5" t="s">
        <v>45</v>
      </c>
      <c r="G79" s="27" t="s">
        <v>739</v>
      </c>
      <c r="H79" s="8" t="s">
        <v>591</v>
      </c>
      <c r="I79" s="8"/>
      <c r="J79" s="8"/>
      <c r="K79" s="25"/>
      <c r="L79" s="26"/>
      <c r="M79" s="8"/>
      <c r="N79" s="9" t="str">
        <f>IF($K79="","",$K79+Dashboard!$B$5)</f>
        <v/>
      </c>
      <c r="O79" s="9" t="str">
        <f>IF($K79="","",$K79+Dashboard!$B$6)</f>
        <v/>
      </c>
      <c r="P79" s="9" t="str">
        <f>IF($K79="","",$K79+Dashboard!$B$7)</f>
        <v/>
      </c>
      <c r="Q79" s="9" t="str">
        <f t="shared" ca="1" si="1"/>
        <v/>
      </c>
    </row>
    <row r="80" spans="1:17" ht="25.5">
      <c r="A80" s="5">
        <v>20</v>
      </c>
      <c r="B80" s="5" t="s">
        <v>15</v>
      </c>
      <c r="C80" s="5" t="s">
        <v>186</v>
      </c>
      <c r="D80" s="5">
        <v>347</v>
      </c>
      <c r="E80" s="5" t="s">
        <v>740</v>
      </c>
      <c r="F80" s="5" t="s">
        <v>45</v>
      </c>
      <c r="G80" s="27" t="s">
        <v>741</v>
      </c>
      <c r="H80" s="8" t="s">
        <v>591</v>
      </c>
      <c r="I80" s="8"/>
      <c r="J80" s="8"/>
      <c r="K80" s="25"/>
      <c r="L80" s="26"/>
      <c r="M80" s="8"/>
      <c r="N80" s="9" t="str">
        <f>IF($K80="","",$K80+Dashboard!$B$5)</f>
        <v/>
      </c>
      <c r="O80" s="9" t="str">
        <f>IF($K80="","",$K80+Dashboard!$B$6)</f>
        <v/>
      </c>
      <c r="P80" s="9" t="str">
        <f>IF($K80="","",$K80+Dashboard!$B$7)</f>
        <v/>
      </c>
      <c r="Q80" s="9" t="str">
        <f t="shared" ca="1" si="1"/>
        <v/>
      </c>
    </row>
    <row r="81" spans="1:17">
      <c r="A81" s="5">
        <v>20</v>
      </c>
      <c r="B81" s="5" t="s">
        <v>15</v>
      </c>
      <c r="C81" s="5" t="s">
        <v>186</v>
      </c>
      <c r="D81" s="5">
        <v>454</v>
      </c>
      <c r="E81" s="5" t="s">
        <v>742</v>
      </c>
      <c r="F81" s="5" t="s">
        <v>45</v>
      </c>
      <c r="G81" s="27" t="s">
        <v>743</v>
      </c>
      <c r="H81" s="8" t="s">
        <v>591</v>
      </c>
      <c r="I81" s="8"/>
      <c r="J81" s="8"/>
      <c r="K81" s="25"/>
      <c r="L81" s="26"/>
      <c r="M81" s="8"/>
      <c r="N81" s="9" t="str">
        <f>IF($K81="","",$K81+Dashboard!$B$5)</f>
        <v/>
      </c>
      <c r="O81" s="9" t="str">
        <f>IF($K81="","",$K81+Dashboard!$B$6)</f>
        <v/>
      </c>
      <c r="P81" s="9" t="str">
        <f>IF($K81="","",$K81+Dashboard!$B$7)</f>
        <v/>
      </c>
      <c r="Q81" s="9" t="str">
        <f t="shared" ca="1" si="1"/>
        <v/>
      </c>
    </row>
    <row r="82" spans="1:17">
      <c r="A82" s="5">
        <v>21</v>
      </c>
      <c r="B82" s="5" t="s">
        <v>15</v>
      </c>
      <c r="C82" s="5" t="s">
        <v>191</v>
      </c>
      <c r="D82" s="5">
        <v>146</v>
      </c>
      <c r="E82" s="5" t="s">
        <v>744</v>
      </c>
      <c r="F82" s="5" t="s">
        <v>45</v>
      </c>
      <c r="G82" s="27" t="s">
        <v>745</v>
      </c>
      <c r="H82" s="8" t="s">
        <v>591</v>
      </c>
      <c r="I82" s="8"/>
      <c r="J82" s="8"/>
      <c r="K82" s="25"/>
      <c r="L82" s="26"/>
      <c r="M82" s="8"/>
      <c r="N82" s="9" t="str">
        <f>IF($K82="","",$K82+Dashboard!$B$5)</f>
        <v/>
      </c>
      <c r="O82" s="9" t="str">
        <f>IF($K82="","",$K82+Dashboard!$B$6)</f>
        <v/>
      </c>
      <c r="P82" s="9" t="str">
        <f>IF($K82="","",$K82+Dashboard!$B$7)</f>
        <v/>
      </c>
      <c r="Q82" s="9" t="str">
        <f t="shared" ca="1" si="1"/>
        <v/>
      </c>
    </row>
    <row r="83" spans="1:17" ht="25.5">
      <c r="A83" s="5">
        <v>21</v>
      </c>
      <c r="B83" s="5" t="s">
        <v>15</v>
      </c>
      <c r="C83" s="5" t="s">
        <v>191</v>
      </c>
      <c r="D83" s="5">
        <v>706</v>
      </c>
      <c r="E83" s="5" t="s">
        <v>746</v>
      </c>
      <c r="F83" s="5" t="s">
        <v>43</v>
      </c>
      <c r="G83" s="27" t="s">
        <v>747</v>
      </c>
      <c r="H83" s="8" t="s">
        <v>591</v>
      </c>
      <c r="I83" s="8"/>
      <c r="J83" s="8"/>
      <c r="K83" s="25"/>
      <c r="L83" s="26"/>
      <c r="M83" s="8"/>
      <c r="N83" s="9" t="str">
        <f>IF($K83="","",$K83+Dashboard!$B$5)</f>
        <v/>
      </c>
      <c r="O83" s="9" t="str">
        <f>IF($K83="","",$K83+Dashboard!$B$6)</f>
        <v/>
      </c>
      <c r="P83" s="9" t="str">
        <f>IF($K83="","",$K83+Dashboard!$B$7)</f>
        <v/>
      </c>
      <c r="Q83" s="9" t="str">
        <f t="shared" ca="1" si="1"/>
        <v/>
      </c>
    </row>
    <row r="84" spans="1:17" ht="25.5">
      <c r="A84" s="5">
        <v>21</v>
      </c>
      <c r="B84" s="5" t="s">
        <v>15</v>
      </c>
      <c r="C84" s="5" t="s">
        <v>191</v>
      </c>
      <c r="D84" s="5">
        <v>23</v>
      </c>
      <c r="E84" s="5" t="s">
        <v>748</v>
      </c>
      <c r="F84" s="5" t="s">
        <v>47</v>
      </c>
      <c r="G84" s="27" t="s">
        <v>749</v>
      </c>
      <c r="H84" s="8" t="s">
        <v>591</v>
      </c>
      <c r="I84" s="8"/>
      <c r="J84" s="8"/>
      <c r="K84" s="25"/>
      <c r="L84" s="26"/>
      <c r="M84" s="8"/>
      <c r="N84" s="9" t="str">
        <f>IF($K84="","",$K84+Dashboard!$B$5)</f>
        <v/>
      </c>
      <c r="O84" s="9" t="str">
        <f>IF($K84="","",$K84+Dashboard!$B$6)</f>
        <v/>
      </c>
      <c r="P84" s="9" t="str">
        <f>IF($K84="","",$K84+Dashboard!$B$7)</f>
        <v/>
      </c>
      <c r="Q84" s="9" t="str">
        <f t="shared" ca="1" si="1"/>
        <v/>
      </c>
    </row>
    <row r="85" spans="1:17" ht="25.5">
      <c r="A85" s="5">
        <v>22</v>
      </c>
      <c r="B85" s="5" t="s">
        <v>15</v>
      </c>
      <c r="C85" s="5" t="s">
        <v>196</v>
      </c>
      <c r="D85" s="5">
        <v>703</v>
      </c>
      <c r="E85" s="5" t="s">
        <v>750</v>
      </c>
      <c r="F85" s="5" t="s">
        <v>43</v>
      </c>
      <c r="G85" s="27" t="s">
        <v>751</v>
      </c>
      <c r="H85" s="8" t="s">
        <v>591</v>
      </c>
      <c r="I85" s="8"/>
      <c r="J85" s="8"/>
      <c r="K85" s="25"/>
      <c r="L85" s="26"/>
      <c r="M85" s="8"/>
      <c r="N85" s="9" t="str">
        <f>IF($K85="","",$K85+Dashboard!$B$5)</f>
        <v/>
      </c>
      <c r="O85" s="9" t="str">
        <f>IF($K85="","",$K85+Dashboard!$B$6)</f>
        <v/>
      </c>
      <c r="P85" s="9" t="str">
        <f>IF($K85="","",$K85+Dashboard!$B$7)</f>
        <v/>
      </c>
      <c r="Q85" s="9" t="str">
        <f t="shared" ca="1" si="1"/>
        <v/>
      </c>
    </row>
    <row r="86" spans="1:17" ht="25.5">
      <c r="A86" s="5">
        <v>22</v>
      </c>
      <c r="B86" s="5" t="s">
        <v>15</v>
      </c>
      <c r="C86" s="5" t="s">
        <v>196</v>
      </c>
      <c r="D86" s="5">
        <v>1046</v>
      </c>
      <c r="E86" s="5" t="s">
        <v>752</v>
      </c>
      <c r="F86" s="5" t="s">
        <v>43</v>
      </c>
      <c r="G86" s="27" t="s">
        <v>753</v>
      </c>
      <c r="H86" s="8" t="s">
        <v>591</v>
      </c>
      <c r="I86" s="8"/>
      <c r="J86" s="8"/>
      <c r="K86" s="25"/>
      <c r="L86" s="26"/>
      <c r="M86" s="8"/>
      <c r="N86" s="9" t="str">
        <f>IF($K86="","",$K86+Dashboard!$B$5)</f>
        <v/>
      </c>
      <c r="O86" s="9" t="str">
        <f>IF($K86="","",$K86+Dashboard!$B$6)</f>
        <v/>
      </c>
      <c r="P86" s="9" t="str">
        <f>IF($K86="","",$K86+Dashboard!$B$7)</f>
        <v/>
      </c>
      <c r="Q86" s="9" t="str">
        <f t="shared" ca="1" si="1"/>
        <v/>
      </c>
    </row>
    <row r="87" spans="1:17" ht="25.5">
      <c r="A87" s="5">
        <v>22</v>
      </c>
      <c r="B87" s="5" t="s">
        <v>15</v>
      </c>
      <c r="C87" s="5" t="s">
        <v>196</v>
      </c>
      <c r="D87" s="5">
        <v>973</v>
      </c>
      <c r="E87" s="5" t="s">
        <v>754</v>
      </c>
      <c r="F87" s="5" t="s">
        <v>45</v>
      </c>
      <c r="G87" s="27" t="s">
        <v>755</v>
      </c>
      <c r="H87" s="8" t="s">
        <v>591</v>
      </c>
      <c r="I87" s="8"/>
      <c r="J87" s="8"/>
      <c r="K87" s="25"/>
      <c r="L87" s="26"/>
      <c r="M87" s="8"/>
      <c r="N87" s="9" t="str">
        <f>IF($K87="","",$K87+Dashboard!$B$5)</f>
        <v/>
      </c>
      <c r="O87" s="9" t="str">
        <f>IF($K87="","",$K87+Dashboard!$B$6)</f>
        <v/>
      </c>
      <c r="P87" s="9" t="str">
        <f>IF($K87="","",$K87+Dashboard!$B$7)</f>
        <v/>
      </c>
      <c r="Q87" s="9" t="str">
        <f t="shared" ca="1" si="1"/>
        <v/>
      </c>
    </row>
    <row r="88" spans="1:17" ht="25.5">
      <c r="A88" s="5">
        <v>22</v>
      </c>
      <c r="B88" s="5" t="s">
        <v>15</v>
      </c>
      <c r="C88" s="5" t="s">
        <v>196</v>
      </c>
      <c r="D88" s="5">
        <v>295</v>
      </c>
      <c r="E88" s="5" t="s">
        <v>756</v>
      </c>
      <c r="F88" s="5" t="s">
        <v>47</v>
      </c>
      <c r="G88" s="27" t="s">
        <v>757</v>
      </c>
      <c r="H88" s="8" t="s">
        <v>591</v>
      </c>
      <c r="I88" s="8"/>
      <c r="J88" s="8"/>
      <c r="K88" s="25"/>
      <c r="L88" s="26"/>
      <c r="M88" s="8"/>
      <c r="N88" s="9" t="str">
        <f>IF($K88="","",$K88+Dashboard!$B$5)</f>
        <v/>
      </c>
      <c r="O88" s="9" t="str">
        <f>IF($K88="","",$K88+Dashboard!$B$6)</f>
        <v/>
      </c>
      <c r="P88" s="9" t="str">
        <f>IF($K88="","",$K88+Dashboard!$B$7)</f>
        <v/>
      </c>
      <c r="Q88" s="9" t="str">
        <f t="shared" ca="1" si="1"/>
        <v/>
      </c>
    </row>
    <row r="89" spans="1:17" ht="25.5">
      <c r="A89" s="5">
        <v>23</v>
      </c>
      <c r="B89" s="5" t="s">
        <v>15</v>
      </c>
      <c r="C89" s="5" t="s">
        <v>201</v>
      </c>
      <c r="D89" s="5">
        <v>94</v>
      </c>
      <c r="E89" s="5" t="s">
        <v>758</v>
      </c>
      <c r="F89" s="5" t="s">
        <v>43</v>
      </c>
      <c r="G89" s="27" t="s">
        <v>759</v>
      </c>
      <c r="H89" s="8" t="s">
        <v>591</v>
      </c>
      <c r="I89" s="8"/>
      <c r="J89" s="8"/>
      <c r="K89" s="25"/>
      <c r="L89" s="26"/>
      <c r="M89" s="8"/>
      <c r="N89" s="9" t="str">
        <f>IF($K89="","",$K89+Dashboard!$B$5)</f>
        <v/>
      </c>
      <c r="O89" s="9" t="str">
        <f>IF($K89="","",$K89+Dashboard!$B$6)</f>
        <v/>
      </c>
      <c r="P89" s="9" t="str">
        <f>IF($K89="","",$K89+Dashboard!$B$7)</f>
        <v/>
      </c>
      <c r="Q89" s="9" t="str">
        <f t="shared" ca="1" si="1"/>
        <v/>
      </c>
    </row>
    <row r="90" spans="1:17" ht="25.5">
      <c r="A90" s="5">
        <v>23</v>
      </c>
      <c r="B90" s="5" t="s">
        <v>15</v>
      </c>
      <c r="C90" s="5" t="s">
        <v>201</v>
      </c>
      <c r="D90" s="5">
        <v>102</v>
      </c>
      <c r="E90" s="5" t="s">
        <v>760</v>
      </c>
      <c r="F90" s="5" t="s">
        <v>45</v>
      </c>
      <c r="G90" s="27" t="s">
        <v>761</v>
      </c>
      <c r="H90" s="8" t="s">
        <v>591</v>
      </c>
      <c r="I90" s="8"/>
      <c r="J90" s="8"/>
      <c r="K90" s="25"/>
      <c r="L90" s="26"/>
      <c r="M90" s="8"/>
      <c r="N90" s="9" t="str">
        <f>IF($K90="","",$K90+Dashboard!$B$5)</f>
        <v/>
      </c>
      <c r="O90" s="9" t="str">
        <f>IF($K90="","",$K90+Dashboard!$B$6)</f>
        <v/>
      </c>
      <c r="P90" s="9" t="str">
        <f>IF($K90="","",$K90+Dashboard!$B$7)</f>
        <v/>
      </c>
      <c r="Q90" s="9" t="str">
        <f t="shared" ca="1" si="1"/>
        <v/>
      </c>
    </row>
    <row r="91" spans="1:17" ht="25.5">
      <c r="A91" s="5">
        <v>23</v>
      </c>
      <c r="B91" s="5" t="s">
        <v>15</v>
      </c>
      <c r="C91" s="5" t="s">
        <v>201</v>
      </c>
      <c r="D91" s="5">
        <v>104</v>
      </c>
      <c r="E91" s="5" t="s">
        <v>762</v>
      </c>
      <c r="F91" s="5" t="s">
        <v>43</v>
      </c>
      <c r="G91" s="27" t="s">
        <v>763</v>
      </c>
      <c r="H91" s="8" t="s">
        <v>591</v>
      </c>
      <c r="I91" s="8"/>
      <c r="J91" s="8"/>
      <c r="K91" s="25"/>
      <c r="L91" s="26"/>
      <c r="M91" s="8"/>
      <c r="N91" s="9" t="str">
        <f>IF($K91="","",$K91+Dashboard!$B$5)</f>
        <v/>
      </c>
      <c r="O91" s="9" t="str">
        <f>IF($K91="","",$K91+Dashboard!$B$6)</f>
        <v/>
      </c>
      <c r="P91" s="9" t="str">
        <f>IF($K91="","",$K91+Dashboard!$B$7)</f>
        <v/>
      </c>
      <c r="Q91" s="9" t="str">
        <f t="shared" ca="1" si="1"/>
        <v/>
      </c>
    </row>
    <row r="92" spans="1:17" ht="25.5">
      <c r="A92" s="5">
        <v>23</v>
      </c>
      <c r="B92" s="5" t="s">
        <v>15</v>
      </c>
      <c r="C92" s="5" t="s">
        <v>201</v>
      </c>
      <c r="D92" s="5">
        <v>226</v>
      </c>
      <c r="E92" s="5" t="s">
        <v>764</v>
      </c>
      <c r="F92" s="5" t="s">
        <v>43</v>
      </c>
      <c r="G92" s="27" t="s">
        <v>765</v>
      </c>
      <c r="H92" s="8" t="s">
        <v>591</v>
      </c>
      <c r="I92" s="8"/>
      <c r="J92" s="8"/>
      <c r="K92" s="25"/>
      <c r="L92" s="26"/>
      <c r="M92" s="8"/>
      <c r="N92" s="9" t="str">
        <f>IF($K92="","",$K92+Dashboard!$B$5)</f>
        <v/>
      </c>
      <c r="O92" s="9" t="str">
        <f>IF($K92="","",$K92+Dashboard!$B$6)</f>
        <v/>
      </c>
      <c r="P92" s="9" t="str">
        <f>IF($K92="","",$K92+Dashboard!$B$7)</f>
        <v/>
      </c>
      <c r="Q92" s="9" t="str">
        <f t="shared" ca="1" si="1"/>
        <v/>
      </c>
    </row>
    <row r="93" spans="1:17" ht="25.5">
      <c r="A93" s="5">
        <v>24</v>
      </c>
      <c r="B93" s="5" t="s">
        <v>15</v>
      </c>
      <c r="C93" s="5" t="s">
        <v>206</v>
      </c>
      <c r="D93" s="5">
        <v>98</v>
      </c>
      <c r="E93" s="5" t="s">
        <v>766</v>
      </c>
      <c r="F93" s="5" t="s">
        <v>45</v>
      </c>
      <c r="G93" s="27" t="s">
        <v>767</v>
      </c>
      <c r="H93" s="8" t="s">
        <v>591</v>
      </c>
      <c r="I93" s="8"/>
      <c r="J93" s="8"/>
      <c r="K93" s="25"/>
      <c r="L93" s="26"/>
      <c r="M93" s="8"/>
      <c r="N93" s="9" t="str">
        <f>IF($K93="","",$K93+Dashboard!$B$5)</f>
        <v/>
      </c>
      <c r="O93" s="9" t="str">
        <f>IF($K93="","",$K93+Dashboard!$B$6)</f>
        <v/>
      </c>
      <c r="P93" s="9" t="str">
        <f>IF($K93="","",$K93+Dashboard!$B$7)</f>
        <v/>
      </c>
      <c r="Q93" s="9" t="str">
        <f t="shared" ca="1" si="1"/>
        <v/>
      </c>
    </row>
    <row r="94" spans="1:17" ht="25.5">
      <c r="A94" s="5">
        <v>24</v>
      </c>
      <c r="B94" s="5" t="s">
        <v>15</v>
      </c>
      <c r="C94" s="5" t="s">
        <v>206</v>
      </c>
      <c r="D94" s="5">
        <v>230</v>
      </c>
      <c r="E94" s="5" t="s">
        <v>768</v>
      </c>
      <c r="F94" s="5" t="s">
        <v>45</v>
      </c>
      <c r="G94" s="27" t="s">
        <v>769</v>
      </c>
      <c r="H94" s="8" t="s">
        <v>591</v>
      </c>
      <c r="I94" s="8"/>
      <c r="J94" s="8"/>
      <c r="K94" s="25"/>
      <c r="L94" s="26"/>
      <c r="M94" s="8"/>
      <c r="N94" s="9" t="str">
        <f>IF($K94="","",$K94+Dashboard!$B$5)</f>
        <v/>
      </c>
      <c r="O94" s="9" t="str">
        <f>IF($K94="","",$K94+Dashboard!$B$6)</f>
        <v/>
      </c>
      <c r="P94" s="9" t="str">
        <f>IF($K94="","",$K94+Dashboard!$B$7)</f>
        <v/>
      </c>
      <c r="Q94" s="9" t="str">
        <f t="shared" ca="1" si="1"/>
        <v/>
      </c>
    </row>
    <row r="95" spans="1:17" ht="38.25">
      <c r="A95" s="5">
        <v>24</v>
      </c>
      <c r="B95" s="5" t="s">
        <v>15</v>
      </c>
      <c r="C95" s="5" t="s">
        <v>206</v>
      </c>
      <c r="D95" s="5">
        <v>235</v>
      </c>
      <c r="E95" s="5" t="s">
        <v>770</v>
      </c>
      <c r="F95" s="5" t="s">
        <v>45</v>
      </c>
      <c r="G95" s="27" t="s">
        <v>771</v>
      </c>
      <c r="H95" s="8" t="s">
        <v>591</v>
      </c>
      <c r="I95" s="8"/>
      <c r="J95" s="8"/>
      <c r="K95" s="25"/>
      <c r="L95" s="26"/>
      <c r="M95" s="8"/>
      <c r="N95" s="9" t="str">
        <f>IF($K95="","",$K95+Dashboard!$B$5)</f>
        <v/>
      </c>
      <c r="O95" s="9" t="str">
        <f>IF($K95="","",$K95+Dashboard!$B$6)</f>
        <v/>
      </c>
      <c r="P95" s="9" t="str">
        <f>IF($K95="","",$K95+Dashboard!$B$7)</f>
        <v/>
      </c>
      <c r="Q95" s="9" t="str">
        <f t="shared" ca="1" si="1"/>
        <v/>
      </c>
    </row>
    <row r="96" spans="1:17" ht="25.5">
      <c r="A96" s="5">
        <v>24</v>
      </c>
      <c r="B96" s="5" t="s">
        <v>15</v>
      </c>
      <c r="C96" s="5" t="s">
        <v>206</v>
      </c>
      <c r="D96" s="5">
        <v>236</v>
      </c>
      <c r="E96" s="5" t="s">
        <v>772</v>
      </c>
      <c r="F96" s="5" t="s">
        <v>45</v>
      </c>
      <c r="G96" s="27" t="s">
        <v>773</v>
      </c>
      <c r="H96" s="8" t="s">
        <v>591</v>
      </c>
      <c r="I96" s="8"/>
      <c r="J96" s="8"/>
      <c r="K96" s="25"/>
      <c r="L96" s="26"/>
      <c r="M96" s="8"/>
      <c r="N96" s="9" t="str">
        <f>IF($K96="","",$K96+Dashboard!$B$5)</f>
        <v/>
      </c>
      <c r="O96" s="9" t="str">
        <f>IF($K96="","",$K96+Dashboard!$B$6)</f>
        <v/>
      </c>
      <c r="P96" s="9" t="str">
        <f>IF($K96="","",$K96+Dashboard!$B$7)</f>
        <v/>
      </c>
      <c r="Q96" s="9" t="str">
        <f t="shared" ca="1" si="1"/>
        <v/>
      </c>
    </row>
    <row r="97" spans="1:17" ht="38.25">
      <c r="A97" s="5">
        <v>25</v>
      </c>
      <c r="B97" s="5" t="s">
        <v>15</v>
      </c>
      <c r="C97" s="5" t="s">
        <v>211</v>
      </c>
      <c r="D97" s="5">
        <v>105</v>
      </c>
      <c r="E97" s="5" t="s">
        <v>774</v>
      </c>
      <c r="F97" s="5" t="s">
        <v>45</v>
      </c>
      <c r="G97" s="27" t="s">
        <v>775</v>
      </c>
      <c r="H97" s="8" t="s">
        <v>591</v>
      </c>
      <c r="I97" s="8"/>
      <c r="J97" s="8"/>
      <c r="K97" s="25"/>
      <c r="L97" s="26"/>
      <c r="M97" s="8"/>
      <c r="N97" s="9" t="str">
        <f>IF($K97="","",$K97+Dashboard!$B$5)</f>
        <v/>
      </c>
      <c r="O97" s="9" t="str">
        <f>IF($K97="","",$K97+Dashboard!$B$6)</f>
        <v/>
      </c>
      <c r="P97" s="9" t="str">
        <f>IF($K97="","",$K97+Dashboard!$B$7)</f>
        <v/>
      </c>
      <c r="Q97" s="9" t="str">
        <f t="shared" ca="1" si="1"/>
        <v/>
      </c>
    </row>
    <row r="98" spans="1:17" ht="25.5">
      <c r="A98" s="5">
        <v>25</v>
      </c>
      <c r="B98" s="5" t="s">
        <v>15</v>
      </c>
      <c r="C98" s="5" t="s">
        <v>211</v>
      </c>
      <c r="D98" s="5">
        <v>297</v>
      </c>
      <c r="E98" s="5" t="s">
        <v>776</v>
      </c>
      <c r="F98" s="5" t="s">
        <v>47</v>
      </c>
      <c r="G98" s="27" t="s">
        <v>777</v>
      </c>
      <c r="H98" s="8" t="s">
        <v>591</v>
      </c>
      <c r="I98" s="8"/>
      <c r="J98" s="8"/>
      <c r="K98" s="25"/>
      <c r="L98" s="26"/>
      <c r="M98" s="8"/>
      <c r="N98" s="9" t="str">
        <f>IF($K98="","",$K98+Dashboard!$B$5)</f>
        <v/>
      </c>
      <c r="O98" s="9" t="str">
        <f>IF($K98="","",$K98+Dashboard!$B$6)</f>
        <v/>
      </c>
      <c r="P98" s="9" t="str">
        <f>IF($K98="","",$K98+Dashboard!$B$7)</f>
        <v/>
      </c>
      <c r="Q98" s="9" t="str">
        <f t="shared" ca="1" si="1"/>
        <v/>
      </c>
    </row>
    <row r="99" spans="1:17" ht="25.5">
      <c r="A99" s="5">
        <v>25</v>
      </c>
      <c r="B99" s="5" t="s">
        <v>15</v>
      </c>
      <c r="C99" s="5" t="s">
        <v>211</v>
      </c>
      <c r="D99" s="5">
        <v>572</v>
      </c>
      <c r="E99" s="5" t="s">
        <v>778</v>
      </c>
      <c r="F99" s="5" t="s">
        <v>43</v>
      </c>
      <c r="G99" s="27" t="s">
        <v>779</v>
      </c>
      <c r="H99" s="8" t="s">
        <v>591</v>
      </c>
      <c r="I99" s="8"/>
      <c r="J99" s="8"/>
      <c r="K99" s="25"/>
      <c r="L99" s="26"/>
      <c r="M99" s="8"/>
      <c r="N99" s="9" t="str">
        <f>IF($K99="","",$K99+Dashboard!$B$5)</f>
        <v/>
      </c>
      <c r="O99" s="9" t="str">
        <f>IF($K99="","",$K99+Dashboard!$B$6)</f>
        <v/>
      </c>
      <c r="P99" s="9" t="str">
        <f>IF($K99="","",$K99+Dashboard!$B$7)</f>
        <v/>
      </c>
      <c r="Q99" s="9" t="str">
        <f t="shared" ca="1" si="1"/>
        <v/>
      </c>
    </row>
    <row r="100" spans="1:17" ht="25.5">
      <c r="A100" s="5">
        <v>25</v>
      </c>
      <c r="B100" s="5" t="s">
        <v>15</v>
      </c>
      <c r="C100" s="5" t="s">
        <v>211</v>
      </c>
      <c r="D100" s="5">
        <v>101</v>
      </c>
      <c r="E100" s="5" t="s">
        <v>780</v>
      </c>
      <c r="F100" s="5" t="s">
        <v>43</v>
      </c>
      <c r="G100" s="27" t="s">
        <v>781</v>
      </c>
      <c r="H100" s="8" t="s">
        <v>591</v>
      </c>
      <c r="I100" s="8"/>
      <c r="J100" s="8"/>
      <c r="K100" s="25"/>
      <c r="L100" s="26"/>
      <c r="M100" s="8"/>
      <c r="N100" s="9" t="str">
        <f>IF($K100="","",$K100+Dashboard!$B$5)</f>
        <v/>
      </c>
      <c r="O100" s="9" t="str">
        <f>IF($K100="","",$K100+Dashboard!$B$6)</f>
        <v/>
      </c>
      <c r="P100" s="9" t="str">
        <f>IF($K100="","",$K100+Dashboard!$B$7)</f>
        <v/>
      </c>
      <c r="Q100" s="9" t="str">
        <f t="shared" ca="1" si="1"/>
        <v/>
      </c>
    </row>
    <row r="101" spans="1:17" ht="25.5">
      <c r="A101" s="5">
        <v>26</v>
      </c>
      <c r="B101" s="5" t="s">
        <v>15</v>
      </c>
      <c r="C101" s="5" t="s">
        <v>216</v>
      </c>
      <c r="D101" s="5">
        <v>208</v>
      </c>
      <c r="E101" s="5" t="s">
        <v>782</v>
      </c>
      <c r="F101" s="5" t="s">
        <v>45</v>
      </c>
      <c r="G101" s="27" t="s">
        <v>783</v>
      </c>
      <c r="H101" s="8" t="s">
        <v>591</v>
      </c>
      <c r="I101" s="8"/>
      <c r="J101" s="8"/>
      <c r="K101" s="25"/>
      <c r="L101" s="26"/>
      <c r="M101" s="8"/>
      <c r="N101" s="9" t="str">
        <f>IF($K101="","",$K101+Dashboard!$B$5)</f>
        <v/>
      </c>
      <c r="O101" s="9" t="str">
        <f>IF($K101="","",$K101+Dashboard!$B$6)</f>
        <v/>
      </c>
      <c r="P101" s="9" t="str">
        <f>IF($K101="","",$K101+Dashboard!$B$7)</f>
        <v/>
      </c>
      <c r="Q101" s="9" t="str">
        <f t="shared" ca="1" si="1"/>
        <v/>
      </c>
    </row>
    <row r="102" spans="1:17" ht="25.5">
      <c r="A102" s="5">
        <v>26</v>
      </c>
      <c r="B102" s="5" t="s">
        <v>15</v>
      </c>
      <c r="C102" s="5" t="s">
        <v>216</v>
      </c>
      <c r="D102" s="5">
        <v>211</v>
      </c>
      <c r="E102" s="5" t="s">
        <v>784</v>
      </c>
      <c r="F102" s="5" t="s">
        <v>45</v>
      </c>
      <c r="G102" s="27" t="s">
        <v>785</v>
      </c>
      <c r="H102" s="8" t="s">
        <v>591</v>
      </c>
      <c r="I102" s="8"/>
      <c r="J102" s="8"/>
      <c r="K102" s="25"/>
      <c r="L102" s="26"/>
      <c r="M102" s="8"/>
      <c r="N102" s="9" t="str">
        <f>IF($K102="","",$K102+Dashboard!$B$5)</f>
        <v/>
      </c>
      <c r="O102" s="9" t="str">
        <f>IF($K102="","",$K102+Dashboard!$B$6)</f>
        <v/>
      </c>
      <c r="P102" s="9" t="str">
        <f>IF($K102="","",$K102+Dashboard!$B$7)</f>
        <v/>
      </c>
      <c r="Q102" s="9" t="str">
        <f t="shared" ca="1" si="1"/>
        <v/>
      </c>
    </row>
    <row r="103" spans="1:17" ht="25.5">
      <c r="A103" s="5">
        <v>26</v>
      </c>
      <c r="B103" s="5" t="s">
        <v>15</v>
      </c>
      <c r="C103" s="5" t="s">
        <v>216</v>
      </c>
      <c r="D103" s="5">
        <v>212</v>
      </c>
      <c r="E103" s="5" t="s">
        <v>786</v>
      </c>
      <c r="F103" s="5" t="s">
        <v>47</v>
      </c>
      <c r="G103" s="27" t="s">
        <v>787</v>
      </c>
      <c r="H103" s="8" t="s">
        <v>591</v>
      </c>
      <c r="I103" s="8"/>
      <c r="J103" s="8"/>
      <c r="K103" s="25"/>
      <c r="L103" s="26"/>
      <c r="M103" s="8"/>
      <c r="N103" s="9" t="str">
        <f>IF($K103="","",$K103+Dashboard!$B$5)</f>
        <v/>
      </c>
      <c r="O103" s="9" t="str">
        <f>IF($K103="","",$K103+Dashboard!$B$6)</f>
        <v/>
      </c>
      <c r="P103" s="9" t="str">
        <f>IF($K103="","",$K103+Dashboard!$B$7)</f>
        <v/>
      </c>
      <c r="Q103" s="9" t="str">
        <f t="shared" ca="1" si="1"/>
        <v/>
      </c>
    </row>
    <row r="104" spans="1:17" ht="25.5">
      <c r="A104" s="5">
        <v>27</v>
      </c>
      <c r="B104" s="5" t="s">
        <v>15</v>
      </c>
      <c r="C104" s="5" t="s">
        <v>221</v>
      </c>
      <c r="D104" s="5">
        <v>547</v>
      </c>
      <c r="E104" s="5" t="s">
        <v>788</v>
      </c>
      <c r="F104" s="5" t="s">
        <v>45</v>
      </c>
      <c r="G104" s="27" t="s">
        <v>789</v>
      </c>
      <c r="H104" s="8" t="s">
        <v>591</v>
      </c>
      <c r="I104" s="8"/>
      <c r="J104" s="8"/>
      <c r="K104" s="25"/>
      <c r="L104" s="26"/>
      <c r="M104" s="8"/>
      <c r="N104" s="9" t="str">
        <f>IF($K104="","",$K104+Dashboard!$B$5)</f>
        <v/>
      </c>
      <c r="O104" s="9" t="str">
        <f>IF($K104="","",$K104+Dashboard!$B$6)</f>
        <v/>
      </c>
      <c r="P104" s="9" t="str">
        <f>IF($K104="","",$K104+Dashboard!$B$7)</f>
        <v/>
      </c>
      <c r="Q104" s="9" t="str">
        <f t="shared" ca="1" si="1"/>
        <v/>
      </c>
    </row>
    <row r="105" spans="1:17" ht="25.5">
      <c r="A105" s="5">
        <v>27</v>
      </c>
      <c r="B105" s="5" t="s">
        <v>15</v>
      </c>
      <c r="C105" s="5" t="s">
        <v>221</v>
      </c>
      <c r="D105" s="5">
        <v>684</v>
      </c>
      <c r="E105" s="5" t="s">
        <v>790</v>
      </c>
      <c r="F105" s="5" t="s">
        <v>45</v>
      </c>
      <c r="G105" s="27" t="s">
        <v>791</v>
      </c>
      <c r="H105" s="8" t="s">
        <v>591</v>
      </c>
      <c r="I105" s="8"/>
      <c r="J105" s="8"/>
      <c r="K105" s="25"/>
      <c r="L105" s="26"/>
      <c r="M105" s="8"/>
      <c r="N105" s="9" t="str">
        <f>IF($K105="","",$K105+Dashboard!$B$5)</f>
        <v/>
      </c>
      <c r="O105" s="9" t="str">
        <f>IF($K105="","",$K105+Dashboard!$B$6)</f>
        <v/>
      </c>
      <c r="P105" s="9" t="str">
        <f>IF($K105="","",$K105+Dashboard!$B$7)</f>
        <v/>
      </c>
      <c r="Q105" s="9" t="str">
        <f t="shared" ca="1" si="1"/>
        <v/>
      </c>
    </row>
    <row r="106" spans="1:17" ht="25.5">
      <c r="A106" s="5">
        <v>27</v>
      </c>
      <c r="B106" s="5" t="s">
        <v>15</v>
      </c>
      <c r="C106" s="5" t="s">
        <v>221</v>
      </c>
      <c r="D106" s="5">
        <v>721</v>
      </c>
      <c r="E106" s="5" t="s">
        <v>792</v>
      </c>
      <c r="F106" s="5" t="s">
        <v>45</v>
      </c>
      <c r="G106" s="27" t="s">
        <v>793</v>
      </c>
      <c r="H106" s="8" t="s">
        <v>591</v>
      </c>
      <c r="I106" s="8"/>
      <c r="J106" s="8"/>
      <c r="K106" s="25"/>
      <c r="L106" s="26"/>
      <c r="M106" s="8"/>
      <c r="N106" s="9" t="str">
        <f>IF($K106="","",$K106+Dashboard!$B$5)</f>
        <v/>
      </c>
      <c r="O106" s="9" t="str">
        <f>IF($K106="","",$K106+Dashboard!$B$6)</f>
        <v/>
      </c>
      <c r="P106" s="9" t="str">
        <f>IF($K106="","",$K106+Dashboard!$B$7)</f>
        <v/>
      </c>
      <c r="Q106" s="9" t="str">
        <f t="shared" ca="1" si="1"/>
        <v/>
      </c>
    </row>
    <row r="107" spans="1:17" ht="25.5">
      <c r="A107" s="5">
        <v>27</v>
      </c>
      <c r="B107" s="5" t="s">
        <v>15</v>
      </c>
      <c r="C107" s="5" t="s">
        <v>221</v>
      </c>
      <c r="D107" s="5">
        <v>990</v>
      </c>
      <c r="E107" s="5" t="s">
        <v>794</v>
      </c>
      <c r="F107" s="5" t="s">
        <v>45</v>
      </c>
      <c r="G107" s="27" t="s">
        <v>795</v>
      </c>
      <c r="H107" s="8" t="s">
        <v>591</v>
      </c>
      <c r="I107" s="8"/>
      <c r="J107" s="8"/>
      <c r="K107" s="25"/>
      <c r="L107" s="26"/>
      <c r="M107" s="8"/>
      <c r="N107" s="9" t="str">
        <f>IF($K107="","",$K107+Dashboard!$B$5)</f>
        <v/>
      </c>
      <c r="O107" s="9" t="str">
        <f>IF($K107="","",$K107+Dashboard!$B$6)</f>
        <v/>
      </c>
      <c r="P107" s="9" t="str">
        <f>IF($K107="","",$K107+Dashboard!$B$7)</f>
        <v/>
      </c>
      <c r="Q107" s="9" t="str">
        <f t="shared" ca="1" si="1"/>
        <v/>
      </c>
    </row>
    <row r="108" spans="1:17" ht="38.25">
      <c r="A108" s="5">
        <v>28</v>
      </c>
      <c r="B108" s="5" t="s">
        <v>15</v>
      </c>
      <c r="C108" s="5" t="s">
        <v>226</v>
      </c>
      <c r="D108" s="5">
        <v>1319</v>
      </c>
      <c r="E108" s="5" t="s">
        <v>796</v>
      </c>
      <c r="F108" s="5" t="s">
        <v>45</v>
      </c>
      <c r="G108" s="27" t="s">
        <v>797</v>
      </c>
      <c r="H108" s="8" t="s">
        <v>591</v>
      </c>
      <c r="I108" s="8"/>
      <c r="J108" s="8"/>
      <c r="K108" s="25"/>
      <c r="L108" s="26"/>
      <c r="M108" s="8"/>
      <c r="N108" s="9" t="str">
        <f>IF($K108="","",$K108+Dashboard!$B$5)</f>
        <v/>
      </c>
      <c r="O108" s="9" t="str">
        <f>IF($K108="","",$K108+Dashboard!$B$6)</f>
        <v/>
      </c>
      <c r="P108" s="9" t="str">
        <f>IF($K108="","",$K108+Dashboard!$B$7)</f>
        <v/>
      </c>
      <c r="Q108" s="9" t="str">
        <f t="shared" ca="1" si="1"/>
        <v/>
      </c>
    </row>
    <row r="109" spans="1:17" ht="25.5">
      <c r="A109" s="5">
        <v>28</v>
      </c>
      <c r="B109" s="5" t="s">
        <v>15</v>
      </c>
      <c r="C109" s="5" t="s">
        <v>226</v>
      </c>
      <c r="D109" s="5">
        <v>1722</v>
      </c>
      <c r="E109" s="5" t="s">
        <v>798</v>
      </c>
      <c r="F109" s="5" t="s">
        <v>45</v>
      </c>
      <c r="G109" s="27" t="s">
        <v>799</v>
      </c>
      <c r="H109" s="8" t="s">
        <v>591</v>
      </c>
      <c r="I109" s="8"/>
      <c r="J109" s="8"/>
      <c r="K109" s="25"/>
      <c r="L109" s="26"/>
      <c r="M109" s="8"/>
      <c r="N109" s="9" t="str">
        <f>IF($K109="","",$K109+Dashboard!$B$5)</f>
        <v/>
      </c>
      <c r="O109" s="9" t="str">
        <f>IF($K109="","",$K109+Dashboard!$B$6)</f>
        <v/>
      </c>
      <c r="P109" s="9" t="str">
        <f>IF($K109="","",$K109+Dashboard!$B$7)</f>
        <v/>
      </c>
      <c r="Q109" s="9" t="str">
        <f t="shared" ca="1" si="1"/>
        <v/>
      </c>
    </row>
    <row r="110" spans="1:17" ht="25.5">
      <c r="A110" s="5">
        <v>28</v>
      </c>
      <c r="B110" s="5" t="s">
        <v>15</v>
      </c>
      <c r="C110" s="5" t="s">
        <v>226</v>
      </c>
      <c r="D110" s="5">
        <v>380</v>
      </c>
      <c r="E110" s="5" t="s">
        <v>800</v>
      </c>
      <c r="F110" s="5" t="s">
        <v>45</v>
      </c>
      <c r="G110" s="27" t="s">
        <v>801</v>
      </c>
      <c r="H110" s="8" t="s">
        <v>591</v>
      </c>
      <c r="I110" s="8"/>
      <c r="J110" s="8"/>
      <c r="K110" s="25"/>
      <c r="L110" s="26"/>
      <c r="M110" s="8"/>
      <c r="N110" s="9" t="str">
        <f>IF($K110="","",$K110+Dashboard!$B$5)</f>
        <v/>
      </c>
      <c r="O110" s="9" t="str">
        <f>IF($K110="","",$K110+Dashboard!$B$6)</f>
        <v/>
      </c>
      <c r="P110" s="9" t="str">
        <f>IF($K110="","",$K110+Dashboard!$B$7)</f>
        <v/>
      </c>
      <c r="Q110" s="9" t="str">
        <f t="shared" ca="1" si="1"/>
        <v/>
      </c>
    </row>
    <row r="111" spans="1:17" ht="38.25">
      <c r="A111" s="5">
        <v>29</v>
      </c>
      <c r="B111" s="5" t="s">
        <v>17</v>
      </c>
      <c r="C111" s="5" t="s">
        <v>231</v>
      </c>
      <c r="D111" s="5">
        <v>1438</v>
      </c>
      <c r="E111" s="5" t="s">
        <v>802</v>
      </c>
      <c r="F111" s="5" t="s">
        <v>45</v>
      </c>
      <c r="G111" s="27" t="s">
        <v>803</v>
      </c>
      <c r="H111" s="8" t="s">
        <v>591</v>
      </c>
      <c r="I111" s="8"/>
      <c r="J111" s="8"/>
      <c r="K111" s="25"/>
      <c r="L111" s="26"/>
      <c r="M111" s="8"/>
      <c r="N111" s="9" t="str">
        <f>IF($K111="","",$K111+Dashboard!$B$5)</f>
        <v/>
      </c>
      <c r="O111" s="9" t="str">
        <f>IF($K111="","",$K111+Dashboard!$B$6)</f>
        <v/>
      </c>
      <c r="P111" s="9" t="str">
        <f>IF($K111="","",$K111+Dashboard!$B$7)</f>
        <v/>
      </c>
      <c r="Q111" s="9" t="str">
        <f t="shared" ca="1" si="1"/>
        <v/>
      </c>
    </row>
    <row r="112" spans="1:17" ht="25.5">
      <c r="A112" s="5">
        <v>29</v>
      </c>
      <c r="B112" s="5" t="s">
        <v>17</v>
      </c>
      <c r="C112" s="5" t="s">
        <v>231</v>
      </c>
      <c r="D112" s="5">
        <v>1856</v>
      </c>
      <c r="E112" s="5" t="s">
        <v>804</v>
      </c>
      <c r="F112" s="5" t="s">
        <v>45</v>
      </c>
      <c r="G112" s="27" t="s">
        <v>805</v>
      </c>
      <c r="H112" s="8" t="s">
        <v>591</v>
      </c>
      <c r="I112" s="8"/>
      <c r="J112" s="8"/>
      <c r="K112" s="25"/>
      <c r="L112" s="26"/>
      <c r="M112" s="8"/>
      <c r="N112" s="9" t="str">
        <f>IF($K112="","",$K112+Dashboard!$B$5)</f>
        <v/>
      </c>
      <c r="O112" s="9" t="str">
        <f>IF($K112="","",$K112+Dashboard!$B$6)</f>
        <v/>
      </c>
      <c r="P112" s="9" t="str">
        <f>IF($K112="","",$K112+Dashboard!$B$7)</f>
        <v/>
      </c>
      <c r="Q112" s="9" t="str">
        <f t="shared" ca="1" si="1"/>
        <v/>
      </c>
    </row>
    <row r="113" spans="1:17" ht="25.5">
      <c r="A113" s="5">
        <v>29</v>
      </c>
      <c r="B113" s="5" t="s">
        <v>17</v>
      </c>
      <c r="C113" s="5" t="s">
        <v>231</v>
      </c>
      <c r="D113" s="5">
        <v>2104</v>
      </c>
      <c r="E113" s="5" t="s">
        <v>806</v>
      </c>
      <c r="F113" s="5" t="s">
        <v>45</v>
      </c>
      <c r="G113" s="27" t="s">
        <v>807</v>
      </c>
      <c r="H113" s="8" t="s">
        <v>591</v>
      </c>
      <c r="I113" s="8"/>
      <c r="J113" s="8"/>
      <c r="K113" s="25"/>
      <c r="L113" s="26"/>
      <c r="M113" s="8"/>
      <c r="N113" s="9" t="str">
        <f>IF($K113="","",$K113+Dashboard!$B$5)</f>
        <v/>
      </c>
      <c r="O113" s="9" t="str">
        <f>IF($K113="","",$K113+Dashboard!$B$6)</f>
        <v/>
      </c>
      <c r="P113" s="9" t="str">
        <f>IF($K113="","",$K113+Dashboard!$B$7)</f>
        <v/>
      </c>
      <c r="Q113" s="9" t="str">
        <f t="shared" ca="1" si="1"/>
        <v/>
      </c>
    </row>
    <row r="114" spans="1:17" ht="25.5">
      <c r="A114" s="5">
        <v>29</v>
      </c>
      <c r="B114" s="5" t="s">
        <v>17</v>
      </c>
      <c r="C114" s="5" t="s">
        <v>231</v>
      </c>
      <c r="D114" s="5">
        <v>907</v>
      </c>
      <c r="E114" s="5" t="s">
        <v>808</v>
      </c>
      <c r="F114" s="5" t="s">
        <v>45</v>
      </c>
      <c r="G114" s="27" t="s">
        <v>809</v>
      </c>
      <c r="H114" s="8" t="s">
        <v>591</v>
      </c>
      <c r="I114" s="8"/>
      <c r="J114" s="8"/>
      <c r="K114" s="25"/>
      <c r="L114" s="26"/>
      <c r="M114" s="8"/>
      <c r="N114" s="9" t="str">
        <f>IF($K114="","",$K114+Dashboard!$B$5)</f>
        <v/>
      </c>
      <c r="O114" s="9" t="str">
        <f>IF($K114="","",$K114+Dashboard!$B$6)</f>
        <v/>
      </c>
      <c r="P114" s="9" t="str">
        <f>IF($K114="","",$K114+Dashboard!$B$7)</f>
        <v/>
      </c>
      <c r="Q114" s="9" t="str">
        <f t="shared" ca="1" si="1"/>
        <v/>
      </c>
    </row>
    <row r="115" spans="1:17" ht="25.5">
      <c r="A115" s="5">
        <v>30</v>
      </c>
      <c r="B115" s="5" t="s">
        <v>17</v>
      </c>
      <c r="C115" s="5" t="s">
        <v>238</v>
      </c>
      <c r="D115" s="5">
        <v>1483</v>
      </c>
      <c r="E115" s="5" t="s">
        <v>810</v>
      </c>
      <c r="F115" s="5" t="s">
        <v>47</v>
      </c>
      <c r="G115" s="27" t="s">
        <v>811</v>
      </c>
      <c r="H115" s="8" t="s">
        <v>591</v>
      </c>
      <c r="I115" s="8"/>
      <c r="J115" s="8"/>
      <c r="K115" s="25"/>
      <c r="L115" s="26"/>
      <c r="M115" s="8"/>
      <c r="N115" s="9" t="str">
        <f>IF($K115="","",$K115+Dashboard!$B$5)</f>
        <v/>
      </c>
      <c r="O115" s="9" t="str">
        <f>IF($K115="","",$K115+Dashboard!$B$6)</f>
        <v/>
      </c>
      <c r="P115" s="9" t="str">
        <f>IF($K115="","",$K115+Dashboard!$B$7)</f>
        <v/>
      </c>
      <c r="Q115" s="9" t="str">
        <f t="shared" ca="1" si="1"/>
        <v/>
      </c>
    </row>
    <row r="116" spans="1:17" ht="25.5">
      <c r="A116" s="5">
        <v>30</v>
      </c>
      <c r="B116" s="5" t="s">
        <v>17</v>
      </c>
      <c r="C116" s="5" t="s">
        <v>238</v>
      </c>
      <c r="D116" s="5">
        <v>1157</v>
      </c>
      <c r="E116" s="5" t="s">
        <v>812</v>
      </c>
      <c r="F116" s="5" t="s">
        <v>47</v>
      </c>
      <c r="G116" s="27" t="s">
        <v>813</v>
      </c>
      <c r="H116" s="8" t="s">
        <v>591</v>
      </c>
      <c r="I116" s="8"/>
      <c r="J116" s="8"/>
      <c r="K116" s="25"/>
      <c r="L116" s="26"/>
      <c r="M116" s="8"/>
      <c r="N116" s="9" t="str">
        <f>IF($K116="","",$K116+Dashboard!$B$5)</f>
        <v/>
      </c>
      <c r="O116" s="9" t="str">
        <f>IF($K116="","",$K116+Dashboard!$B$6)</f>
        <v/>
      </c>
      <c r="P116" s="9" t="str">
        <f>IF($K116="","",$K116+Dashboard!$B$7)</f>
        <v/>
      </c>
      <c r="Q116" s="9" t="str">
        <f t="shared" ca="1" si="1"/>
        <v/>
      </c>
    </row>
    <row r="117" spans="1:17" ht="25.5">
      <c r="A117" s="5">
        <v>30</v>
      </c>
      <c r="B117" s="5" t="s">
        <v>17</v>
      </c>
      <c r="C117" s="5" t="s">
        <v>238</v>
      </c>
      <c r="D117" s="5">
        <v>2398</v>
      </c>
      <c r="E117" s="5" t="s">
        <v>814</v>
      </c>
      <c r="F117" s="5" t="s">
        <v>47</v>
      </c>
      <c r="G117" s="27" t="s">
        <v>815</v>
      </c>
      <c r="H117" s="8" t="s">
        <v>591</v>
      </c>
      <c r="I117" s="8"/>
      <c r="J117" s="8"/>
      <c r="K117" s="25"/>
      <c r="L117" s="26"/>
      <c r="M117" s="8"/>
      <c r="N117" s="9" t="str">
        <f>IF($K117="","",$K117+Dashboard!$B$5)</f>
        <v/>
      </c>
      <c r="O117" s="9" t="str">
        <f>IF($K117="","",$K117+Dashboard!$B$6)</f>
        <v/>
      </c>
      <c r="P117" s="9" t="str">
        <f>IF($K117="","",$K117+Dashboard!$B$7)</f>
        <v/>
      </c>
      <c r="Q117" s="9" t="str">
        <f t="shared" ca="1" si="1"/>
        <v/>
      </c>
    </row>
    <row r="118" spans="1:17" ht="25.5">
      <c r="A118" s="5">
        <v>31</v>
      </c>
      <c r="B118" s="5" t="s">
        <v>17</v>
      </c>
      <c r="C118" s="5" t="s">
        <v>242</v>
      </c>
      <c r="D118" s="5">
        <v>307</v>
      </c>
      <c r="E118" s="5" t="s">
        <v>816</v>
      </c>
      <c r="F118" s="5" t="s">
        <v>45</v>
      </c>
      <c r="G118" s="27" t="s">
        <v>817</v>
      </c>
      <c r="H118" s="8" t="s">
        <v>591</v>
      </c>
      <c r="I118" s="8"/>
      <c r="J118" s="8"/>
      <c r="K118" s="25"/>
      <c r="L118" s="26"/>
      <c r="M118" s="8"/>
      <c r="N118" s="9" t="str">
        <f>IF($K118="","",$K118+Dashboard!$B$5)</f>
        <v/>
      </c>
      <c r="O118" s="9" t="str">
        <f>IF($K118="","",$K118+Dashboard!$B$6)</f>
        <v/>
      </c>
      <c r="P118" s="9" t="str">
        <f>IF($K118="","",$K118+Dashboard!$B$7)</f>
        <v/>
      </c>
      <c r="Q118" s="9" t="str">
        <f t="shared" ca="1" si="1"/>
        <v/>
      </c>
    </row>
    <row r="119" spans="1:17" ht="25.5">
      <c r="A119" s="5">
        <v>31</v>
      </c>
      <c r="B119" s="5" t="s">
        <v>17</v>
      </c>
      <c r="C119" s="5" t="s">
        <v>242</v>
      </c>
      <c r="D119" s="5">
        <v>315</v>
      </c>
      <c r="E119" s="5" t="s">
        <v>818</v>
      </c>
      <c r="F119" s="5" t="s">
        <v>47</v>
      </c>
      <c r="G119" s="27" t="s">
        <v>819</v>
      </c>
      <c r="H119" s="8" t="s">
        <v>591</v>
      </c>
      <c r="I119" s="8"/>
      <c r="J119" s="8"/>
      <c r="K119" s="25"/>
      <c r="L119" s="26"/>
      <c r="M119" s="8"/>
      <c r="N119" s="9" t="str">
        <f>IF($K119="","",$K119+Dashboard!$B$5)</f>
        <v/>
      </c>
      <c r="O119" s="9" t="str">
        <f>IF($K119="","",$K119+Dashboard!$B$6)</f>
        <v/>
      </c>
      <c r="P119" s="9" t="str">
        <f>IF($K119="","",$K119+Dashboard!$B$7)</f>
        <v/>
      </c>
      <c r="Q119" s="9" t="str">
        <f t="shared" ca="1" si="1"/>
        <v/>
      </c>
    </row>
    <row r="120" spans="1:17" ht="25.5">
      <c r="A120" s="5">
        <v>32</v>
      </c>
      <c r="B120" s="5" t="s">
        <v>17</v>
      </c>
      <c r="C120" s="5" t="s">
        <v>249</v>
      </c>
      <c r="D120" s="5">
        <v>699</v>
      </c>
      <c r="E120" s="5" t="s">
        <v>820</v>
      </c>
      <c r="F120" s="5" t="s">
        <v>47</v>
      </c>
      <c r="G120" s="27" t="s">
        <v>821</v>
      </c>
      <c r="H120" s="8" t="s">
        <v>591</v>
      </c>
      <c r="I120" s="8"/>
      <c r="J120" s="8"/>
      <c r="K120" s="25"/>
      <c r="L120" s="26"/>
      <c r="M120" s="8"/>
      <c r="N120" s="9" t="str">
        <f>IF($K120="","",$K120+Dashboard!$B$5)</f>
        <v/>
      </c>
      <c r="O120" s="9" t="str">
        <f>IF($K120="","",$K120+Dashboard!$B$6)</f>
        <v/>
      </c>
      <c r="P120" s="9" t="str">
        <f>IF($K120="","",$K120+Dashboard!$B$7)</f>
        <v/>
      </c>
      <c r="Q120" s="9" t="str">
        <f t="shared" ca="1" si="1"/>
        <v/>
      </c>
    </row>
    <row r="121" spans="1:17" ht="25.5">
      <c r="A121" s="5">
        <v>32</v>
      </c>
      <c r="B121" s="5" t="s">
        <v>17</v>
      </c>
      <c r="C121" s="5" t="s">
        <v>249</v>
      </c>
      <c r="D121" s="5">
        <v>218</v>
      </c>
      <c r="E121" s="5" t="s">
        <v>822</v>
      </c>
      <c r="F121" s="5" t="s">
        <v>47</v>
      </c>
      <c r="G121" s="27" t="s">
        <v>823</v>
      </c>
      <c r="H121" s="8" t="s">
        <v>591</v>
      </c>
      <c r="I121" s="8"/>
      <c r="J121" s="8"/>
      <c r="K121" s="25"/>
      <c r="L121" s="26"/>
      <c r="M121" s="8"/>
      <c r="N121" s="9" t="str">
        <f>IF($K121="","",$K121+Dashboard!$B$5)</f>
        <v/>
      </c>
      <c r="O121" s="9" t="str">
        <f>IF($K121="","",$K121+Dashboard!$B$6)</f>
        <v/>
      </c>
      <c r="P121" s="9" t="str">
        <f>IF($K121="","",$K121+Dashboard!$B$7)</f>
        <v/>
      </c>
      <c r="Q121" s="9" t="str">
        <f t="shared" ca="1" si="1"/>
        <v/>
      </c>
    </row>
    <row r="122" spans="1:17" ht="25.5">
      <c r="A122" s="5">
        <v>32</v>
      </c>
      <c r="B122" s="5" t="s">
        <v>17</v>
      </c>
      <c r="C122" s="5" t="s">
        <v>249</v>
      </c>
      <c r="D122" s="5">
        <v>1649</v>
      </c>
      <c r="E122" s="5" t="s">
        <v>824</v>
      </c>
      <c r="F122" s="5" t="s">
        <v>47</v>
      </c>
      <c r="G122" s="27" t="s">
        <v>825</v>
      </c>
      <c r="H122" s="8" t="s">
        <v>591</v>
      </c>
      <c r="I122" s="8"/>
      <c r="J122" s="8"/>
      <c r="K122" s="25"/>
      <c r="L122" s="26"/>
      <c r="M122" s="8"/>
      <c r="N122" s="9" t="str">
        <f>IF($K122="","",$K122+Dashboard!$B$5)</f>
        <v/>
      </c>
      <c r="O122" s="9" t="str">
        <f>IF($K122="","",$K122+Dashboard!$B$6)</f>
        <v/>
      </c>
      <c r="P122" s="9" t="str">
        <f>IF($K122="","",$K122+Dashboard!$B$7)</f>
        <v/>
      </c>
      <c r="Q122" s="9" t="str">
        <f t="shared" ca="1" si="1"/>
        <v/>
      </c>
    </row>
    <row r="123" spans="1:17" ht="25.5">
      <c r="A123" s="5">
        <v>33</v>
      </c>
      <c r="B123" s="5" t="s">
        <v>17</v>
      </c>
      <c r="C123" s="5" t="s">
        <v>253</v>
      </c>
      <c r="D123" s="5">
        <v>493</v>
      </c>
      <c r="E123" s="5" t="s">
        <v>826</v>
      </c>
      <c r="F123" s="5" t="s">
        <v>47</v>
      </c>
      <c r="G123" s="27" t="s">
        <v>827</v>
      </c>
      <c r="H123" s="8" t="s">
        <v>591</v>
      </c>
      <c r="I123" s="8"/>
      <c r="J123" s="8"/>
      <c r="K123" s="25"/>
      <c r="L123" s="26"/>
      <c r="M123" s="8"/>
      <c r="N123" s="9" t="str">
        <f>IF($K123="","",$K123+Dashboard!$B$5)</f>
        <v/>
      </c>
      <c r="O123" s="9" t="str">
        <f>IF($K123="","",$K123+Dashboard!$B$6)</f>
        <v/>
      </c>
      <c r="P123" s="9" t="str">
        <f>IF($K123="","",$K123+Dashboard!$B$7)</f>
        <v/>
      </c>
      <c r="Q123" s="9" t="str">
        <f t="shared" ca="1" si="1"/>
        <v/>
      </c>
    </row>
    <row r="124" spans="1:17" ht="25.5">
      <c r="A124" s="5">
        <v>33</v>
      </c>
      <c r="B124" s="5" t="s">
        <v>17</v>
      </c>
      <c r="C124" s="5" t="s">
        <v>253</v>
      </c>
      <c r="D124" s="5">
        <v>327</v>
      </c>
      <c r="E124" s="5" t="s">
        <v>828</v>
      </c>
      <c r="F124" s="5" t="s">
        <v>47</v>
      </c>
      <c r="G124" s="27" t="s">
        <v>829</v>
      </c>
      <c r="H124" s="8" t="s">
        <v>591</v>
      </c>
      <c r="I124" s="8"/>
      <c r="J124" s="8"/>
      <c r="K124" s="25"/>
      <c r="L124" s="26"/>
      <c r="M124" s="8"/>
      <c r="N124" s="9" t="str">
        <f>IF($K124="","",$K124+Dashboard!$B$5)</f>
        <v/>
      </c>
      <c r="O124" s="9" t="str">
        <f>IF($K124="","",$K124+Dashboard!$B$6)</f>
        <v/>
      </c>
      <c r="P124" s="9" t="str">
        <f>IF($K124="","",$K124+Dashboard!$B$7)</f>
        <v/>
      </c>
      <c r="Q124" s="9" t="str">
        <f t="shared" ca="1" si="1"/>
        <v/>
      </c>
    </row>
    <row r="125" spans="1:17" ht="25.5">
      <c r="A125" s="5">
        <v>33</v>
      </c>
      <c r="B125" s="5" t="s">
        <v>17</v>
      </c>
      <c r="C125" s="5" t="s">
        <v>253</v>
      </c>
      <c r="D125" s="5">
        <v>2407</v>
      </c>
      <c r="E125" s="5" t="s">
        <v>830</v>
      </c>
      <c r="F125" s="5" t="s">
        <v>47</v>
      </c>
      <c r="G125" s="27" t="s">
        <v>831</v>
      </c>
      <c r="H125" s="8" t="s">
        <v>591</v>
      </c>
      <c r="I125" s="8"/>
      <c r="J125" s="8"/>
      <c r="K125" s="25"/>
      <c r="L125" s="26"/>
      <c r="M125" s="8"/>
      <c r="N125" s="9" t="str">
        <f>IF($K125="","",$K125+Dashboard!$B$5)</f>
        <v/>
      </c>
      <c r="O125" s="9" t="str">
        <f>IF($K125="","",$K125+Dashboard!$B$6)</f>
        <v/>
      </c>
      <c r="P125" s="9" t="str">
        <f>IF($K125="","",$K125+Dashboard!$B$7)</f>
        <v/>
      </c>
      <c r="Q125" s="9" t="str">
        <f t="shared" ca="1" si="1"/>
        <v/>
      </c>
    </row>
    <row r="126" spans="1:17" ht="25.5">
      <c r="A126" s="5">
        <v>34</v>
      </c>
      <c r="B126" s="5" t="s">
        <v>17</v>
      </c>
      <c r="C126" s="5" t="s">
        <v>258</v>
      </c>
      <c r="D126" s="5">
        <v>2276</v>
      </c>
      <c r="E126" s="5" t="s">
        <v>832</v>
      </c>
      <c r="F126" s="5" t="s">
        <v>47</v>
      </c>
      <c r="G126" s="27" t="s">
        <v>833</v>
      </c>
      <c r="H126" s="8" t="s">
        <v>591</v>
      </c>
      <c r="I126" s="8"/>
      <c r="J126" s="8"/>
      <c r="K126" s="25"/>
      <c r="L126" s="26"/>
      <c r="M126" s="8"/>
      <c r="N126" s="9" t="str">
        <f>IF($K126="","",$K126+Dashboard!$B$5)</f>
        <v/>
      </c>
      <c r="O126" s="9" t="str">
        <f>IF($K126="","",$K126+Dashboard!$B$6)</f>
        <v/>
      </c>
      <c r="P126" s="9" t="str">
        <f>IF($K126="","",$K126+Dashboard!$B$7)</f>
        <v/>
      </c>
      <c r="Q126" s="9" t="str">
        <f t="shared" ca="1" si="1"/>
        <v/>
      </c>
    </row>
    <row r="127" spans="1:17" ht="25.5">
      <c r="A127" s="5">
        <v>34</v>
      </c>
      <c r="B127" s="5" t="s">
        <v>17</v>
      </c>
      <c r="C127" s="5" t="s">
        <v>258</v>
      </c>
      <c r="D127" s="5">
        <v>2179</v>
      </c>
      <c r="E127" s="5" t="s">
        <v>834</v>
      </c>
      <c r="F127" s="5" t="s">
        <v>47</v>
      </c>
      <c r="G127" s="27" t="s">
        <v>835</v>
      </c>
      <c r="H127" s="8" t="s">
        <v>591</v>
      </c>
      <c r="I127" s="8"/>
      <c r="J127" s="8"/>
      <c r="K127" s="25"/>
      <c r="L127" s="26"/>
      <c r="M127" s="8"/>
      <c r="N127" s="9" t="str">
        <f>IF($K127="","",$K127+Dashboard!$B$5)</f>
        <v/>
      </c>
      <c r="O127" s="9" t="str">
        <f>IF($K127="","",$K127+Dashboard!$B$6)</f>
        <v/>
      </c>
      <c r="P127" s="9" t="str">
        <f>IF($K127="","",$K127+Dashboard!$B$7)</f>
        <v/>
      </c>
      <c r="Q127" s="9" t="str">
        <f t="shared" ca="1" si="1"/>
        <v/>
      </c>
    </row>
    <row r="128" spans="1:17">
      <c r="A128" s="5">
        <v>35</v>
      </c>
      <c r="B128" s="5" t="s">
        <v>19</v>
      </c>
      <c r="C128" s="5" t="s">
        <v>264</v>
      </c>
      <c r="D128" s="5">
        <v>78</v>
      </c>
      <c r="E128" s="5" t="s">
        <v>836</v>
      </c>
      <c r="F128" s="5" t="s">
        <v>45</v>
      </c>
      <c r="G128" s="27" t="s">
        <v>837</v>
      </c>
      <c r="H128" s="8" t="s">
        <v>591</v>
      </c>
      <c r="I128" s="8"/>
      <c r="J128" s="8"/>
      <c r="K128" s="25"/>
      <c r="L128" s="26"/>
      <c r="M128" s="8"/>
      <c r="N128" s="9" t="str">
        <f>IF($K128="","",$K128+Dashboard!$B$5)</f>
        <v/>
      </c>
      <c r="O128" s="9" t="str">
        <f>IF($K128="","",$K128+Dashboard!$B$6)</f>
        <v/>
      </c>
      <c r="P128" s="9" t="str">
        <f>IF($K128="","",$K128+Dashboard!$B$7)</f>
        <v/>
      </c>
      <c r="Q128" s="9" t="str">
        <f t="shared" ca="1" si="1"/>
        <v/>
      </c>
    </row>
    <row r="129" spans="1:17">
      <c r="A129" s="5">
        <v>35</v>
      </c>
      <c r="B129" s="5" t="s">
        <v>19</v>
      </c>
      <c r="C129" s="5" t="s">
        <v>264</v>
      </c>
      <c r="D129" s="5">
        <v>90</v>
      </c>
      <c r="E129" s="5" t="s">
        <v>838</v>
      </c>
      <c r="F129" s="5" t="s">
        <v>45</v>
      </c>
      <c r="G129" s="27" t="s">
        <v>839</v>
      </c>
      <c r="H129" s="8" t="s">
        <v>591</v>
      </c>
      <c r="I129" s="8"/>
      <c r="J129" s="8"/>
      <c r="K129" s="25"/>
      <c r="L129" s="26"/>
      <c r="M129" s="8"/>
      <c r="N129" s="9" t="str">
        <f>IF($K129="","",$K129+Dashboard!$B$5)</f>
        <v/>
      </c>
      <c r="O129" s="9" t="str">
        <f>IF($K129="","",$K129+Dashboard!$B$6)</f>
        <v/>
      </c>
      <c r="P129" s="9" t="str">
        <f>IF($K129="","",$K129+Dashboard!$B$7)</f>
        <v/>
      </c>
      <c r="Q129" s="9" t="str">
        <f t="shared" ca="1" si="1"/>
        <v/>
      </c>
    </row>
    <row r="130" spans="1:17">
      <c r="A130" s="5">
        <v>35</v>
      </c>
      <c r="B130" s="5" t="s">
        <v>19</v>
      </c>
      <c r="C130" s="5" t="s">
        <v>264</v>
      </c>
      <c r="D130" s="5">
        <v>46</v>
      </c>
      <c r="E130" s="5" t="s">
        <v>840</v>
      </c>
      <c r="F130" s="5" t="s">
        <v>45</v>
      </c>
      <c r="G130" s="27" t="s">
        <v>841</v>
      </c>
      <c r="H130" s="8" t="s">
        <v>591</v>
      </c>
      <c r="I130" s="8"/>
      <c r="J130" s="8"/>
      <c r="K130" s="25"/>
      <c r="L130" s="26"/>
      <c r="M130" s="8"/>
      <c r="N130" s="9" t="str">
        <f>IF($K130="","",$K130+Dashboard!$B$5)</f>
        <v/>
      </c>
      <c r="O130" s="9" t="str">
        <f>IF($K130="","",$K130+Dashboard!$B$6)</f>
        <v/>
      </c>
      <c r="P130" s="9" t="str">
        <f>IF($K130="","",$K130+Dashboard!$B$7)</f>
        <v/>
      </c>
      <c r="Q130" s="9" t="str">
        <f t="shared" ca="1" si="1"/>
        <v/>
      </c>
    </row>
    <row r="131" spans="1:17" ht="25.5">
      <c r="A131" s="5">
        <v>35</v>
      </c>
      <c r="B131" s="5" t="s">
        <v>19</v>
      </c>
      <c r="C131" s="5" t="s">
        <v>264</v>
      </c>
      <c r="D131" s="5">
        <v>47</v>
      </c>
      <c r="E131" s="5" t="s">
        <v>842</v>
      </c>
      <c r="F131" s="5" t="s">
        <v>45</v>
      </c>
      <c r="G131" s="27" t="s">
        <v>843</v>
      </c>
      <c r="H131" s="8" t="s">
        <v>591</v>
      </c>
      <c r="I131" s="8"/>
      <c r="J131" s="8"/>
      <c r="K131" s="25"/>
      <c r="L131" s="26"/>
      <c r="M131" s="8"/>
      <c r="N131" s="9" t="str">
        <f>IF($K131="","",$K131+Dashboard!$B$5)</f>
        <v/>
      </c>
      <c r="O131" s="9" t="str">
        <f>IF($K131="","",$K131+Dashboard!$B$6)</f>
        <v/>
      </c>
      <c r="P131" s="9" t="str">
        <f>IF($K131="","",$K131+Dashboard!$B$7)</f>
        <v/>
      </c>
      <c r="Q131" s="9" t="str">
        <f t="shared" ca="1" si="1"/>
        <v/>
      </c>
    </row>
    <row r="132" spans="1:17">
      <c r="A132" s="5">
        <v>36</v>
      </c>
      <c r="B132" s="5" t="s">
        <v>19</v>
      </c>
      <c r="C132" s="5" t="s">
        <v>270</v>
      </c>
      <c r="D132" s="5">
        <v>77</v>
      </c>
      <c r="E132" s="5" t="s">
        <v>844</v>
      </c>
      <c r="F132" s="5" t="s">
        <v>45</v>
      </c>
      <c r="G132" s="27" t="s">
        <v>845</v>
      </c>
      <c r="H132" s="8" t="s">
        <v>591</v>
      </c>
      <c r="I132" s="8"/>
      <c r="J132" s="8"/>
      <c r="K132" s="25"/>
      <c r="L132" s="26"/>
      <c r="M132" s="8"/>
      <c r="N132" s="9" t="str">
        <f>IF($K132="","",$K132+Dashboard!$B$5)</f>
        <v/>
      </c>
      <c r="O132" s="9" t="str">
        <f>IF($K132="","",$K132+Dashboard!$B$6)</f>
        <v/>
      </c>
      <c r="P132" s="9" t="str">
        <f>IF($K132="","",$K132+Dashboard!$B$7)</f>
        <v/>
      </c>
      <c r="Q132" s="9" t="str">
        <f t="shared" ca="1" si="1"/>
        <v/>
      </c>
    </row>
    <row r="133" spans="1:17" ht="25.5">
      <c r="A133" s="5">
        <v>36</v>
      </c>
      <c r="B133" s="5" t="s">
        <v>19</v>
      </c>
      <c r="C133" s="5" t="s">
        <v>270</v>
      </c>
      <c r="D133" s="5">
        <v>39</v>
      </c>
      <c r="E133" s="5" t="s">
        <v>846</v>
      </c>
      <c r="F133" s="5" t="s">
        <v>45</v>
      </c>
      <c r="G133" s="27" t="s">
        <v>847</v>
      </c>
      <c r="H133" s="8" t="s">
        <v>591</v>
      </c>
      <c r="I133" s="8"/>
      <c r="J133" s="8"/>
      <c r="K133" s="25"/>
      <c r="L133" s="26"/>
      <c r="M133" s="8"/>
      <c r="N133" s="9" t="str">
        <f>IF($K133="","",$K133+Dashboard!$B$5)</f>
        <v/>
      </c>
      <c r="O133" s="9" t="str">
        <f>IF($K133="","",$K133+Dashboard!$B$6)</f>
        <v/>
      </c>
      <c r="P133" s="9" t="str">
        <f>IF($K133="","",$K133+Dashboard!$B$7)</f>
        <v/>
      </c>
      <c r="Q133" s="9" t="str">
        <f t="shared" ref="Q133:Q196" ca="1" si="2">IF($K133="","",IF(TODAY()&lt;=N133,N133,IF(TODAY()&lt;=O133,O133,IF(TODAY()&lt;=P133,P133,"Đã ôn đủ"))))</f>
        <v/>
      </c>
    </row>
    <row r="134" spans="1:17" ht="25.5">
      <c r="A134" s="5">
        <v>36</v>
      </c>
      <c r="B134" s="5" t="s">
        <v>19</v>
      </c>
      <c r="C134" s="5" t="s">
        <v>270</v>
      </c>
      <c r="D134" s="5">
        <v>40</v>
      </c>
      <c r="E134" s="5" t="s">
        <v>848</v>
      </c>
      <c r="F134" s="5" t="s">
        <v>45</v>
      </c>
      <c r="G134" s="27" t="s">
        <v>849</v>
      </c>
      <c r="H134" s="8" t="s">
        <v>591</v>
      </c>
      <c r="I134" s="8"/>
      <c r="J134" s="8"/>
      <c r="K134" s="25"/>
      <c r="L134" s="26"/>
      <c r="M134" s="8"/>
      <c r="N134" s="9" t="str">
        <f>IF($K134="","",$K134+Dashboard!$B$5)</f>
        <v/>
      </c>
      <c r="O134" s="9" t="str">
        <f>IF($K134="","",$K134+Dashboard!$B$6)</f>
        <v/>
      </c>
      <c r="P134" s="9" t="str">
        <f>IF($K134="","",$K134+Dashboard!$B$7)</f>
        <v/>
      </c>
      <c r="Q134" s="9" t="str">
        <f t="shared" ca="1" si="2"/>
        <v/>
      </c>
    </row>
    <row r="135" spans="1:17" ht="25.5">
      <c r="A135" s="5">
        <v>36</v>
      </c>
      <c r="B135" s="5" t="s">
        <v>19</v>
      </c>
      <c r="C135" s="5" t="s">
        <v>270</v>
      </c>
      <c r="D135" s="5">
        <v>216</v>
      </c>
      <c r="E135" s="5" t="s">
        <v>850</v>
      </c>
      <c r="F135" s="5" t="s">
        <v>45</v>
      </c>
      <c r="G135" s="27" t="s">
        <v>851</v>
      </c>
      <c r="H135" s="8" t="s">
        <v>591</v>
      </c>
      <c r="I135" s="8"/>
      <c r="J135" s="8"/>
      <c r="K135" s="25"/>
      <c r="L135" s="26"/>
      <c r="M135" s="8"/>
      <c r="N135" s="9" t="str">
        <f>IF($K135="","",$K135+Dashboard!$B$5)</f>
        <v/>
      </c>
      <c r="O135" s="9" t="str">
        <f>IF($K135="","",$K135+Dashboard!$B$6)</f>
        <v/>
      </c>
      <c r="P135" s="9" t="str">
        <f>IF($K135="","",$K135+Dashboard!$B$7)</f>
        <v/>
      </c>
      <c r="Q135" s="9" t="str">
        <f t="shared" ca="1" si="2"/>
        <v/>
      </c>
    </row>
    <row r="136" spans="1:17" ht="25.5">
      <c r="A136" s="5">
        <v>37</v>
      </c>
      <c r="B136" s="5" t="s">
        <v>19</v>
      </c>
      <c r="C136" s="5" t="s">
        <v>275</v>
      </c>
      <c r="D136" s="5">
        <v>17</v>
      </c>
      <c r="E136" s="5" t="s">
        <v>852</v>
      </c>
      <c r="F136" s="5" t="s">
        <v>45</v>
      </c>
      <c r="G136" s="27" t="s">
        <v>853</v>
      </c>
      <c r="H136" s="8" t="s">
        <v>591</v>
      </c>
      <c r="I136" s="8"/>
      <c r="J136" s="8"/>
      <c r="K136" s="25"/>
      <c r="L136" s="26"/>
      <c r="M136" s="8"/>
      <c r="N136" s="9" t="str">
        <f>IF($K136="","",$K136+Dashboard!$B$5)</f>
        <v/>
      </c>
      <c r="O136" s="9" t="str">
        <f>IF($K136="","",$K136+Dashboard!$B$6)</f>
        <v/>
      </c>
      <c r="P136" s="9" t="str">
        <f>IF($K136="","",$K136+Dashboard!$B$7)</f>
        <v/>
      </c>
      <c r="Q136" s="9" t="str">
        <f t="shared" ca="1" si="2"/>
        <v/>
      </c>
    </row>
    <row r="137" spans="1:17" ht="25.5">
      <c r="A137" s="5">
        <v>37</v>
      </c>
      <c r="B137" s="5" t="s">
        <v>19</v>
      </c>
      <c r="C137" s="5" t="s">
        <v>275</v>
      </c>
      <c r="D137" s="5">
        <v>22</v>
      </c>
      <c r="E137" s="5" t="s">
        <v>854</v>
      </c>
      <c r="F137" s="5" t="s">
        <v>45</v>
      </c>
      <c r="G137" s="27" t="s">
        <v>855</v>
      </c>
      <c r="H137" s="8" t="s">
        <v>591</v>
      </c>
      <c r="I137" s="8"/>
      <c r="J137" s="8"/>
      <c r="K137" s="25"/>
      <c r="L137" s="26"/>
      <c r="M137" s="8"/>
      <c r="N137" s="9" t="str">
        <f>IF($K137="","",$K137+Dashboard!$B$5)</f>
        <v/>
      </c>
      <c r="O137" s="9" t="str">
        <f>IF($K137="","",$K137+Dashboard!$B$6)</f>
        <v/>
      </c>
      <c r="P137" s="9" t="str">
        <f>IF($K137="","",$K137+Dashboard!$B$7)</f>
        <v/>
      </c>
      <c r="Q137" s="9" t="str">
        <f t="shared" ca="1" si="2"/>
        <v/>
      </c>
    </row>
    <row r="138" spans="1:17" ht="25.5">
      <c r="A138" s="5">
        <v>37</v>
      </c>
      <c r="B138" s="5" t="s">
        <v>19</v>
      </c>
      <c r="C138" s="5" t="s">
        <v>275</v>
      </c>
      <c r="D138" s="5">
        <v>79</v>
      </c>
      <c r="E138" s="5" t="s">
        <v>856</v>
      </c>
      <c r="F138" s="5" t="s">
        <v>45</v>
      </c>
      <c r="G138" s="27" t="s">
        <v>857</v>
      </c>
      <c r="H138" s="8" t="s">
        <v>591</v>
      </c>
      <c r="I138" s="8"/>
      <c r="J138" s="8"/>
      <c r="K138" s="25"/>
      <c r="L138" s="26"/>
      <c r="M138" s="8"/>
      <c r="N138" s="9" t="str">
        <f>IF($K138="","",$K138+Dashboard!$B$5)</f>
        <v/>
      </c>
      <c r="O138" s="9" t="str">
        <f>IF($K138="","",$K138+Dashboard!$B$6)</f>
        <v/>
      </c>
      <c r="P138" s="9" t="str">
        <f>IF($K138="","",$K138+Dashboard!$B$7)</f>
        <v/>
      </c>
      <c r="Q138" s="9" t="str">
        <f t="shared" ca="1" si="2"/>
        <v/>
      </c>
    </row>
    <row r="139" spans="1:17" ht="25.5">
      <c r="A139" s="5">
        <v>37</v>
      </c>
      <c r="B139" s="5" t="s">
        <v>19</v>
      </c>
      <c r="C139" s="5" t="s">
        <v>275</v>
      </c>
      <c r="D139" s="5">
        <v>131</v>
      </c>
      <c r="E139" s="5" t="s">
        <v>858</v>
      </c>
      <c r="F139" s="5" t="s">
        <v>45</v>
      </c>
      <c r="G139" s="27" t="s">
        <v>859</v>
      </c>
      <c r="H139" s="8" t="s">
        <v>591</v>
      </c>
      <c r="I139" s="8"/>
      <c r="J139" s="8"/>
      <c r="K139" s="25"/>
      <c r="L139" s="26"/>
      <c r="M139" s="8"/>
      <c r="N139" s="9" t="str">
        <f>IF($K139="","",$K139+Dashboard!$B$5)</f>
        <v/>
      </c>
      <c r="O139" s="9" t="str">
        <f>IF($K139="","",$K139+Dashboard!$B$6)</f>
        <v/>
      </c>
      <c r="P139" s="9" t="str">
        <f>IF($K139="","",$K139+Dashboard!$B$7)</f>
        <v/>
      </c>
      <c r="Q139" s="9" t="str">
        <f t="shared" ca="1" si="2"/>
        <v/>
      </c>
    </row>
    <row r="140" spans="1:17">
      <c r="A140" s="5">
        <v>38</v>
      </c>
      <c r="B140" s="5" t="s">
        <v>19</v>
      </c>
      <c r="C140" s="5" t="s">
        <v>280</v>
      </c>
      <c r="D140" s="5">
        <v>51</v>
      </c>
      <c r="E140" s="5" t="s">
        <v>860</v>
      </c>
      <c r="F140" s="5" t="s">
        <v>47</v>
      </c>
      <c r="G140" s="27" t="s">
        <v>861</v>
      </c>
      <c r="H140" s="8" t="s">
        <v>591</v>
      </c>
      <c r="I140" s="8"/>
      <c r="J140" s="8"/>
      <c r="K140" s="25"/>
      <c r="L140" s="26"/>
      <c r="M140" s="8"/>
      <c r="N140" s="9" t="str">
        <f>IF($K140="","",$K140+Dashboard!$B$5)</f>
        <v/>
      </c>
      <c r="O140" s="9" t="str">
        <f>IF($K140="","",$K140+Dashboard!$B$6)</f>
        <v/>
      </c>
      <c r="P140" s="9" t="str">
        <f>IF($K140="","",$K140+Dashboard!$B$7)</f>
        <v/>
      </c>
      <c r="Q140" s="9" t="str">
        <f t="shared" ca="1" si="2"/>
        <v/>
      </c>
    </row>
    <row r="141" spans="1:17">
      <c r="A141" s="5">
        <v>38</v>
      </c>
      <c r="B141" s="5" t="s">
        <v>19</v>
      </c>
      <c r="C141" s="5" t="s">
        <v>280</v>
      </c>
      <c r="D141" s="5">
        <v>52</v>
      </c>
      <c r="E141" s="5" t="s">
        <v>862</v>
      </c>
      <c r="F141" s="5" t="s">
        <v>47</v>
      </c>
      <c r="G141" s="27" t="s">
        <v>863</v>
      </c>
      <c r="H141" s="8" t="s">
        <v>591</v>
      </c>
      <c r="I141" s="8"/>
      <c r="J141" s="8"/>
      <c r="K141" s="25"/>
      <c r="L141" s="26"/>
      <c r="M141" s="8"/>
      <c r="N141" s="9" t="str">
        <f>IF($K141="","",$K141+Dashboard!$B$5)</f>
        <v/>
      </c>
      <c r="O141" s="9" t="str">
        <f>IF($K141="","",$K141+Dashboard!$B$6)</f>
        <v/>
      </c>
      <c r="P141" s="9" t="str">
        <f>IF($K141="","",$K141+Dashboard!$B$7)</f>
        <v/>
      </c>
      <c r="Q141" s="9" t="str">
        <f t="shared" ca="1" si="2"/>
        <v/>
      </c>
    </row>
    <row r="142" spans="1:17" ht="25.5">
      <c r="A142" s="5">
        <v>38</v>
      </c>
      <c r="B142" s="5" t="s">
        <v>19</v>
      </c>
      <c r="C142" s="5" t="s">
        <v>280</v>
      </c>
      <c r="D142" s="5">
        <v>37</v>
      </c>
      <c r="E142" s="5" t="s">
        <v>864</v>
      </c>
      <c r="F142" s="5" t="s">
        <v>47</v>
      </c>
      <c r="G142" s="27" t="s">
        <v>865</v>
      </c>
      <c r="H142" s="8" t="s">
        <v>591</v>
      </c>
      <c r="I142" s="8"/>
      <c r="J142" s="8"/>
      <c r="K142" s="25"/>
      <c r="L142" s="26"/>
      <c r="M142" s="8"/>
      <c r="N142" s="9" t="str">
        <f>IF($K142="","",$K142+Dashboard!$B$5)</f>
        <v/>
      </c>
      <c r="O142" s="9" t="str">
        <f>IF($K142="","",$K142+Dashboard!$B$6)</f>
        <v/>
      </c>
      <c r="P142" s="9" t="str">
        <f>IF($K142="","",$K142+Dashboard!$B$7)</f>
        <v/>
      </c>
      <c r="Q142" s="9" t="str">
        <f t="shared" ca="1" si="2"/>
        <v/>
      </c>
    </row>
    <row r="143" spans="1:17" ht="25.5">
      <c r="A143" s="5">
        <v>38</v>
      </c>
      <c r="B143" s="5" t="s">
        <v>19</v>
      </c>
      <c r="C143" s="5" t="s">
        <v>280</v>
      </c>
      <c r="D143" s="5">
        <v>93</v>
      </c>
      <c r="E143" s="5" t="s">
        <v>866</v>
      </c>
      <c r="F143" s="5" t="s">
        <v>45</v>
      </c>
      <c r="G143" s="27" t="s">
        <v>867</v>
      </c>
      <c r="H143" s="8" t="s">
        <v>591</v>
      </c>
      <c r="I143" s="8"/>
      <c r="J143" s="8"/>
      <c r="K143" s="25"/>
      <c r="L143" s="26"/>
      <c r="M143" s="8"/>
      <c r="N143" s="9" t="str">
        <f>IF($K143="","",$K143+Dashboard!$B$5)</f>
        <v/>
      </c>
      <c r="O143" s="9" t="str">
        <f>IF($K143="","",$K143+Dashboard!$B$6)</f>
        <v/>
      </c>
      <c r="P143" s="9" t="str">
        <f>IF($K143="","",$K143+Dashboard!$B$7)</f>
        <v/>
      </c>
      <c r="Q143" s="9" t="str">
        <f t="shared" ca="1" si="2"/>
        <v/>
      </c>
    </row>
    <row r="144" spans="1:17" ht="25.5">
      <c r="A144" s="5">
        <v>39</v>
      </c>
      <c r="B144" s="5" t="s">
        <v>19</v>
      </c>
      <c r="C144" s="5" t="s">
        <v>285</v>
      </c>
      <c r="D144" s="5">
        <v>698</v>
      </c>
      <c r="E144" s="5" t="s">
        <v>868</v>
      </c>
      <c r="F144" s="5" t="s">
        <v>45</v>
      </c>
      <c r="G144" s="27" t="s">
        <v>869</v>
      </c>
      <c r="H144" s="8" t="s">
        <v>591</v>
      </c>
      <c r="I144" s="8"/>
      <c r="J144" s="8"/>
      <c r="K144" s="25"/>
      <c r="L144" s="26"/>
      <c r="M144" s="8"/>
      <c r="N144" s="9" t="str">
        <f>IF($K144="","",$K144+Dashboard!$B$5)</f>
        <v/>
      </c>
      <c r="O144" s="9" t="str">
        <f>IF($K144="","",$K144+Dashboard!$B$6)</f>
        <v/>
      </c>
      <c r="P144" s="9" t="str">
        <f>IF($K144="","",$K144+Dashboard!$B$7)</f>
        <v/>
      </c>
      <c r="Q144" s="9" t="str">
        <f t="shared" ca="1" si="2"/>
        <v/>
      </c>
    </row>
    <row r="145" spans="1:17" ht="25.5">
      <c r="A145" s="5">
        <v>39</v>
      </c>
      <c r="B145" s="5" t="s">
        <v>19</v>
      </c>
      <c r="C145" s="5" t="s">
        <v>285</v>
      </c>
      <c r="D145" s="5">
        <v>473</v>
      </c>
      <c r="E145" s="5" t="s">
        <v>870</v>
      </c>
      <c r="F145" s="5" t="s">
        <v>45</v>
      </c>
      <c r="G145" s="27" t="s">
        <v>871</v>
      </c>
      <c r="H145" s="8" t="s">
        <v>591</v>
      </c>
      <c r="I145" s="8"/>
      <c r="J145" s="8"/>
      <c r="K145" s="25"/>
      <c r="L145" s="26"/>
      <c r="M145" s="8"/>
      <c r="N145" s="9" t="str">
        <f>IF($K145="","",$K145+Dashboard!$B$5)</f>
        <v/>
      </c>
      <c r="O145" s="9" t="str">
        <f>IF($K145="","",$K145+Dashboard!$B$6)</f>
        <v/>
      </c>
      <c r="P145" s="9" t="str">
        <f>IF($K145="","",$K145+Dashboard!$B$7)</f>
        <v/>
      </c>
      <c r="Q145" s="9" t="str">
        <f t="shared" ca="1" si="2"/>
        <v/>
      </c>
    </row>
    <row r="146" spans="1:17" ht="25.5">
      <c r="A146" s="5">
        <v>39</v>
      </c>
      <c r="B146" s="5" t="s">
        <v>19</v>
      </c>
      <c r="C146" s="5" t="s">
        <v>285</v>
      </c>
      <c r="D146" s="5">
        <v>2305</v>
      </c>
      <c r="E146" s="5" t="s">
        <v>872</v>
      </c>
      <c r="F146" s="5" t="s">
        <v>45</v>
      </c>
      <c r="G146" s="27" t="s">
        <v>873</v>
      </c>
      <c r="H146" s="8" t="s">
        <v>591</v>
      </c>
      <c r="I146" s="8"/>
      <c r="J146" s="8"/>
      <c r="K146" s="25"/>
      <c r="L146" s="26"/>
      <c r="M146" s="8"/>
      <c r="N146" s="9" t="str">
        <f>IF($K146="","",$K146+Dashboard!$B$5)</f>
        <v/>
      </c>
      <c r="O146" s="9" t="str">
        <f>IF($K146="","",$K146+Dashboard!$B$6)</f>
        <v/>
      </c>
      <c r="P146" s="9" t="str">
        <f>IF($K146="","",$K146+Dashboard!$B$7)</f>
        <v/>
      </c>
      <c r="Q146" s="9" t="str">
        <f t="shared" ca="1" si="2"/>
        <v/>
      </c>
    </row>
    <row r="147" spans="1:17" ht="38.25">
      <c r="A147" s="5">
        <v>39</v>
      </c>
      <c r="B147" s="5" t="s">
        <v>19</v>
      </c>
      <c r="C147" s="5" t="s">
        <v>285</v>
      </c>
      <c r="D147" s="5">
        <v>1239</v>
      </c>
      <c r="E147" s="5" t="s">
        <v>874</v>
      </c>
      <c r="F147" s="5" t="s">
        <v>45</v>
      </c>
      <c r="G147" s="27" t="s">
        <v>875</v>
      </c>
      <c r="H147" s="8" t="s">
        <v>591</v>
      </c>
      <c r="I147" s="8"/>
      <c r="J147" s="8"/>
      <c r="K147" s="25"/>
      <c r="L147" s="26"/>
      <c r="M147" s="8"/>
      <c r="N147" s="9" t="str">
        <f>IF($K147="","",$K147+Dashboard!$B$5)</f>
        <v/>
      </c>
      <c r="O147" s="9" t="str">
        <f>IF($K147="","",$K147+Dashboard!$B$6)</f>
        <v/>
      </c>
      <c r="P147" s="9" t="str">
        <f>IF($K147="","",$K147+Dashboard!$B$7)</f>
        <v/>
      </c>
      <c r="Q147" s="9" t="str">
        <f t="shared" ca="1" si="2"/>
        <v/>
      </c>
    </row>
    <row r="148" spans="1:17" ht="25.5">
      <c r="A148" s="5">
        <v>40</v>
      </c>
      <c r="B148" s="5" t="s">
        <v>19</v>
      </c>
      <c r="C148" s="5" t="s">
        <v>290</v>
      </c>
      <c r="D148" s="5">
        <v>847</v>
      </c>
      <c r="E148" s="5" t="s">
        <v>876</v>
      </c>
      <c r="F148" s="5" t="s">
        <v>47</v>
      </c>
      <c r="G148" s="27" t="s">
        <v>877</v>
      </c>
      <c r="H148" s="8" t="s">
        <v>591</v>
      </c>
      <c r="I148" s="8"/>
      <c r="J148" s="8"/>
      <c r="K148" s="25"/>
      <c r="L148" s="26"/>
      <c r="M148" s="8"/>
      <c r="N148" s="9" t="str">
        <f>IF($K148="","",$K148+Dashboard!$B$5)</f>
        <v/>
      </c>
      <c r="O148" s="9" t="str">
        <f>IF($K148="","",$K148+Dashboard!$B$6)</f>
        <v/>
      </c>
      <c r="P148" s="9" t="str">
        <f>IF($K148="","",$K148+Dashboard!$B$7)</f>
        <v/>
      </c>
      <c r="Q148" s="9" t="str">
        <f t="shared" ca="1" si="2"/>
        <v/>
      </c>
    </row>
    <row r="149" spans="1:17" ht="25.5">
      <c r="A149" s="5">
        <v>40</v>
      </c>
      <c r="B149" s="5" t="s">
        <v>19</v>
      </c>
      <c r="C149" s="5" t="s">
        <v>290</v>
      </c>
      <c r="D149" s="5">
        <v>943</v>
      </c>
      <c r="E149" s="5" t="s">
        <v>878</v>
      </c>
      <c r="F149" s="5" t="s">
        <v>47</v>
      </c>
      <c r="G149" s="27" t="s">
        <v>879</v>
      </c>
      <c r="H149" s="8" t="s">
        <v>591</v>
      </c>
      <c r="I149" s="8"/>
      <c r="J149" s="8"/>
      <c r="K149" s="25"/>
      <c r="L149" s="26"/>
      <c r="M149" s="8"/>
      <c r="N149" s="9" t="str">
        <f>IF($K149="","",$K149+Dashboard!$B$5)</f>
        <v/>
      </c>
      <c r="O149" s="9" t="str">
        <f>IF($K149="","",$K149+Dashboard!$B$6)</f>
        <v/>
      </c>
      <c r="P149" s="9" t="str">
        <f>IF($K149="","",$K149+Dashboard!$B$7)</f>
        <v/>
      </c>
      <c r="Q149" s="9" t="str">
        <f t="shared" ca="1" si="2"/>
        <v/>
      </c>
    </row>
    <row r="150" spans="1:17" ht="25.5">
      <c r="A150" s="5">
        <v>40</v>
      </c>
      <c r="B150" s="5" t="s">
        <v>19</v>
      </c>
      <c r="C150" s="5" t="s">
        <v>290</v>
      </c>
      <c r="D150" s="5">
        <v>1723</v>
      </c>
      <c r="E150" s="5" t="s">
        <v>880</v>
      </c>
      <c r="F150" s="5" t="s">
        <v>47</v>
      </c>
      <c r="G150" s="27" t="s">
        <v>881</v>
      </c>
      <c r="H150" s="8" t="s">
        <v>591</v>
      </c>
      <c r="I150" s="8"/>
      <c r="J150" s="8"/>
      <c r="K150" s="25"/>
      <c r="L150" s="26"/>
      <c r="M150" s="8"/>
      <c r="N150" s="9" t="str">
        <f>IF($K150="","",$K150+Dashboard!$B$5)</f>
        <v/>
      </c>
      <c r="O150" s="9" t="str">
        <f>IF($K150="","",$K150+Dashboard!$B$6)</f>
        <v/>
      </c>
      <c r="P150" s="9" t="str">
        <f>IF($K150="","",$K150+Dashboard!$B$7)</f>
        <v/>
      </c>
      <c r="Q150" s="9" t="str">
        <f t="shared" ca="1" si="2"/>
        <v/>
      </c>
    </row>
    <row r="151" spans="1:17" ht="25.5">
      <c r="A151" s="5">
        <v>41</v>
      </c>
      <c r="B151" s="5" t="s">
        <v>19</v>
      </c>
      <c r="C151" s="5" t="s">
        <v>295</v>
      </c>
      <c r="D151" s="5">
        <v>1359</v>
      </c>
      <c r="E151" s="5" t="s">
        <v>882</v>
      </c>
      <c r="F151" s="5" t="s">
        <v>47</v>
      </c>
      <c r="G151" s="27" t="s">
        <v>883</v>
      </c>
      <c r="H151" s="8" t="s">
        <v>591</v>
      </c>
      <c r="I151" s="8"/>
      <c r="J151" s="8"/>
      <c r="K151" s="25"/>
      <c r="L151" s="26"/>
      <c r="M151" s="8"/>
      <c r="N151" s="9" t="str">
        <f>IF($K151="","",$K151+Dashboard!$B$5)</f>
        <v/>
      </c>
      <c r="O151" s="9" t="str">
        <f>IF($K151="","",$K151+Dashboard!$B$6)</f>
        <v/>
      </c>
      <c r="P151" s="9" t="str">
        <f>IF($K151="","",$K151+Dashboard!$B$7)</f>
        <v/>
      </c>
      <c r="Q151" s="9" t="str">
        <f t="shared" ca="1" si="2"/>
        <v/>
      </c>
    </row>
    <row r="152" spans="1:17" ht="38.25">
      <c r="A152" s="5">
        <v>41</v>
      </c>
      <c r="B152" s="5" t="s">
        <v>19</v>
      </c>
      <c r="C152" s="5" t="s">
        <v>295</v>
      </c>
      <c r="D152" s="5">
        <v>1986</v>
      </c>
      <c r="E152" s="5" t="s">
        <v>884</v>
      </c>
      <c r="F152" s="5" t="s">
        <v>45</v>
      </c>
      <c r="G152" s="27" t="s">
        <v>885</v>
      </c>
      <c r="H152" s="8" t="s">
        <v>591</v>
      </c>
      <c r="I152" s="8"/>
      <c r="J152" s="8"/>
      <c r="K152" s="25"/>
      <c r="L152" s="26"/>
      <c r="M152" s="8"/>
      <c r="N152" s="9" t="str">
        <f>IF($K152="","",$K152+Dashboard!$B$5)</f>
        <v/>
      </c>
      <c r="O152" s="9" t="str">
        <f>IF($K152="","",$K152+Dashboard!$B$6)</f>
        <v/>
      </c>
      <c r="P152" s="9" t="str">
        <f>IF($K152="","",$K152+Dashboard!$B$7)</f>
        <v/>
      </c>
      <c r="Q152" s="9" t="str">
        <f t="shared" ca="1" si="2"/>
        <v/>
      </c>
    </row>
    <row r="153" spans="1:17" ht="25.5">
      <c r="A153" s="5">
        <v>41</v>
      </c>
      <c r="B153" s="5" t="s">
        <v>19</v>
      </c>
      <c r="C153" s="5" t="s">
        <v>295</v>
      </c>
      <c r="D153" s="5">
        <v>1879</v>
      </c>
      <c r="E153" s="5" t="s">
        <v>886</v>
      </c>
      <c r="F153" s="5" t="s">
        <v>47</v>
      </c>
      <c r="G153" s="27" t="s">
        <v>887</v>
      </c>
      <c r="H153" s="8" t="s">
        <v>591</v>
      </c>
      <c r="I153" s="8"/>
      <c r="J153" s="8"/>
      <c r="K153" s="25"/>
      <c r="L153" s="26"/>
      <c r="M153" s="8"/>
      <c r="N153" s="9" t="str">
        <f>IF($K153="","",$K153+Dashboard!$B$5)</f>
        <v/>
      </c>
      <c r="O153" s="9" t="str">
        <f>IF($K153="","",$K153+Dashboard!$B$6)</f>
        <v/>
      </c>
      <c r="P153" s="9" t="str">
        <f>IF($K153="","",$K153+Dashboard!$B$7)</f>
        <v/>
      </c>
      <c r="Q153" s="9" t="str">
        <f t="shared" ca="1" si="2"/>
        <v/>
      </c>
    </row>
    <row r="154" spans="1:17" ht="25.5">
      <c r="A154" s="5">
        <v>42</v>
      </c>
      <c r="B154" s="5" t="s">
        <v>19</v>
      </c>
      <c r="C154" s="5" t="s">
        <v>300</v>
      </c>
      <c r="D154" s="5">
        <v>391</v>
      </c>
      <c r="E154" s="5" t="s">
        <v>888</v>
      </c>
      <c r="F154" s="5" t="s">
        <v>47</v>
      </c>
      <c r="G154" s="27" t="s">
        <v>889</v>
      </c>
      <c r="H154" s="8" t="s">
        <v>591</v>
      </c>
      <c r="I154" s="8"/>
      <c r="J154" s="8"/>
      <c r="K154" s="25"/>
      <c r="L154" s="26"/>
      <c r="M154" s="8"/>
      <c r="N154" s="9" t="str">
        <f>IF($K154="","",$K154+Dashboard!$B$5)</f>
        <v/>
      </c>
      <c r="O154" s="9" t="str">
        <f>IF($K154="","",$K154+Dashboard!$B$6)</f>
        <v/>
      </c>
      <c r="P154" s="9" t="str">
        <f>IF($K154="","",$K154+Dashboard!$B$7)</f>
        <v/>
      </c>
      <c r="Q154" s="9" t="str">
        <f t="shared" ca="1" si="2"/>
        <v/>
      </c>
    </row>
    <row r="155" spans="1:17" ht="25.5">
      <c r="A155" s="5">
        <v>42</v>
      </c>
      <c r="B155" s="5" t="s">
        <v>19</v>
      </c>
      <c r="C155" s="5" t="s">
        <v>300</v>
      </c>
      <c r="D155" s="5">
        <v>223</v>
      </c>
      <c r="E155" s="5" t="s">
        <v>890</v>
      </c>
      <c r="F155" s="5" t="s">
        <v>45</v>
      </c>
      <c r="G155" s="27" t="s">
        <v>891</v>
      </c>
      <c r="H155" s="8" t="s">
        <v>591</v>
      </c>
      <c r="I155" s="8"/>
      <c r="J155" s="8"/>
      <c r="K155" s="25"/>
      <c r="L155" s="26"/>
      <c r="M155" s="8"/>
      <c r="N155" s="9" t="str">
        <f>IF($K155="","",$K155+Dashboard!$B$5)</f>
        <v/>
      </c>
      <c r="O155" s="9" t="str">
        <f>IF($K155="","",$K155+Dashboard!$B$6)</f>
        <v/>
      </c>
      <c r="P155" s="9" t="str">
        <f>IF($K155="","",$K155+Dashboard!$B$7)</f>
        <v/>
      </c>
      <c r="Q155" s="9" t="str">
        <f t="shared" ca="1" si="2"/>
        <v/>
      </c>
    </row>
    <row r="156" spans="1:17" ht="25.5">
      <c r="A156" s="5">
        <v>42</v>
      </c>
      <c r="B156" s="5" t="s">
        <v>19</v>
      </c>
      <c r="C156" s="5" t="s">
        <v>300</v>
      </c>
      <c r="D156" s="5">
        <v>850</v>
      </c>
      <c r="E156" s="5" t="s">
        <v>892</v>
      </c>
      <c r="F156" s="5" t="s">
        <v>47</v>
      </c>
      <c r="G156" s="27" t="s">
        <v>893</v>
      </c>
      <c r="H156" s="8" t="s">
        <v>591</v>
      </c>
      <c r="I156" s="8"/>
      <c r="J156" s="8"/>
      <c r="K156" s="25"/>
      <c r="L156" s="26"/>
      <c r="M156" s="8"/>
      <c r="N156" s="9" t="str">
        <f>IF($K156="","",$K156+Dashboard!$B$5)</f>
        <v/>
      </c>
      <c r="O156" s="9" t="str">
        <f>IF($K156="","",$K156+Dashboard!$B$6)</f>
        <v/>
      </c>
      <c r="P156" s="9" t="str">
        <f>IF($K156="","",$K156+Dashboard!$B$7)</f>
        <v/>
      </c>
      <c r="Q156" s="9" t="str">
        <f t="shared" ca="1" si="2"/>
        <v/>
      </c>
    </row>
    <row r="157" spans="1:17" ht="25.5">
      <c r="A157" s="5">
        <v>43</v>
      </c>
      <c r="B157" s="5" t="s">
        <v>19</v>
      </c>
      <c r="C157" s="5" t="s">
        <v>306</v>
      </c>
      <c r="D157" s="5">
        <v>1125</v>
      </c>
      <c r="E157" s="5" t="s">
        <v>894</v>
      </c>
      <c r="F157" s="5" t="s">
        <v>47</v>
      </c>
      <c r="G157" s="27" t="s">
        <v>895</v>
      </c>
      <c r="H157" s="8" t="s">
        <v>591</v>
      </c>
      <c r="I157" s="8"/>
      <c r="J157" s="8"/>
      <c r="K157" s="25"/>
      <c r="L157" s="26"/>
      <c r="M157" s="8"/>
      <c r="N157" s="9" t="str">
        <f>IF($K157="","",$K157+Dashboard!$B$5)</f>
        <v/>
      </c>
      <c r="O157" s="9" t="str">
        <f>IF($K157="","",$K157+Dashboard!$B$6)</f>
        <v/>
      </c>
      <c r="P157" s="9" t="str">
        <f>IF($K157="","",$K157+Dashboard!$B$7)</f>
        <v/>
      </c>
      <c r="Q157" s="9" t="str">
        <f t="shared" ca="1" si="2"/>
        <v/>
      </c>
    </row>
    <row r="158" spans="1:17" ht="38.25">
      <c r="A158" s="5">
        <v>43</v>
      </c>
      <c r="B158" s="5" t="s">
        <v>19</v>
      </c>
      <c r="C158" s="5" t="s">
        <v>306</v>
      </c>
      <c r="D158" s="5">
        <v>1595</v>
      </c>
      <c r="E158" s="5" t="s">
        <v>896</v>
      </c>
      <c r="F158" s="5" t="s">
        <v>47</v>
      </c>
      <c r="G158" s="27" t="s">
        <v>897</v>
      </c>
      <c r="H158" s="8" t="s">
        <v>591</v>
      </c>
      <c r="I158" s="8"/>
      <c r="J158" s="8"/>
      <c r="K158" s="25"/>
      <c r="L158" s="26"/>
      <c r="M158" s="8"/>
      <c r="N158" s="9" t="str">
        <f>IF($K158="","",$K158+Dashboard!$B$5)</f>
        <v/>
      </c>
      <c r="O158" s="9" t="str">
        <f>IF($K158="","",$K158+Dashboard!$B$6)</f>
        <v/>
      </c>
      <c r="P158" s="9" t="str">
        <f>IF($K158="","",$K158+Dashboard!$B$7)</f>
        <v/>
      </c>
      <c r="Q158" s="9" t="str">
        <f t="shared" ca="1" si="2"/>
        <v/>
      </c>
    </row>
    <row r="159" spans="1:17" ht="25.5">
      <c r="A159" s="5">
        <v>43</v>
      </c>
      <c r="B159" s="5" t="s">
        <v>19</v>
      </c>
      <c r="C159" s="5" t="s">
        <v>306</v>
      </c>
      <c r="D159" s="5">
        <v>2172</v>
      </c>
      <c r="E159" s="5" t="s">
        <v>898</v>
      </c>
      <c r="F159" s="5" t="s">
        <v>47</v>
      </c>
      <c r="G159" s="27" t="s">
        <v>899</v>
      </c>
      <c r="H159" s="8" t="s">
        <v>591</v>
      </c>
      <c r="I159" s="8"/>
      <c r="J159" s="8"/>
      <c r="K159" s="25"/>
      <c r="L159" s="26"/>
      <c r="M159" s="8"/>
      <c r="N159" s="9" t="str">
        <f>IF($K159="","",$K159+Dashboard!$B$5)</f>
        <v/>
      </c>
      <c r="O159" s="9" t="str">
        <f>IF($K159="","",$K159+Dashboard!$B$6)</f>
        <v/>
      </c>
      <c r="P159" s="9" t="str">
        <f>IF($K159="","",$K159+Dashboard!$B$7)</f>
        <v/>
      </c>
      <c r="Q159" s="9" t="str">
        <f t="shared" ca="1" si="2"/>
        <v/>
      </c>
    </row>
    <row r="160" spans="1:17" ht="25.5">
      <c r="A160" s="5">
        <v>44</v>
      </c>
      <c r="B160" s="5" t="s">
        <v>19</v>
      </c>
      <c r="C160" s="5" t="s">
        <v>313</v>
      </c>
      <c r="D160" s="5">
        <v>2597</v>
      </c>
      <c r="E160" s="5" t="s">
        <v>900</v>
      </c>
      <c r="F160" s="5" t="s">
        <v>45</v>
      </c>
      <c r="G160" s="27" t="s">
        <v>901</v>
      </c>
      <c r="H160" s="8" t="s">
        <v>591</v>
      </c>
      <c r="I160" s="8"/>
      <c r="J160" s="8"/>
      <c r="K160" s="25"/>
      <c r="L160" s="26"/>
      <c r="M160" s="8"/>
      <c r="N160" s="9" t="str">
        <f>IF($K160="","",$K160+Dashboard!$B$5)</f>
        <v/>
      </c>
      <c r="O160" s="9" t="str">
        <f>IF($K160="","",$K160+Dashboard!$B$6)</f>
        <v/>
      </c>
      <c r="P160" s="9" t="str">
        <f>IF($K160="","",$K160+Dashboard!$B$7)</f>
        <v/>
      </c>
      <c r="Q160" s="9" t="str">
        <f t="shared" ca="1" si="2"/>
        <v/>
      </c>
    </row>
    <row r="161" spans="1:17" ht="25.5">
      <c r="A161" s="5">
        <v>44</v>
      </c>
      <c r="B161" s="5" t="s">
        <v>19</v>
      </c>
      <c r="C161" s="5" t="s">
        <v>313</v>
      </c>
      <c r="D161" s="5">
        <v>1255</v>
      </c>
      <c r="E161" s="5" t="s">
        <v>902</v>
      </c>
      <c r="F161" s="5" t="s">
        <v>47</v>
      </c>
      <c r="G161" s="27" t="s">
        <v>903</v>
      </c>
      <c r="H161" s="8" t="s">
        <v>591</v>
      </c>
      <c r="I161" s="8"/>
      <c r="J161" s="8"/>
      <c r="K161" s="25"/>
      <c r="L161" s="26"/>
      <c r="M161" s="8"/>
      <c r="N161" s="9" t="str">
        <f>IF($K161="","",$K161+Dashboard!$B$5)</f>
        <v/>
      </c>
      <c r="O161" s="9" t="str">
        <f>IF($K161="","",$K161+Dashboard!$B$6)</f>
        <v/>
      </c>
      <c r="P161" s="9" t="str">
        <f>IF($K161="","",$K161+Dashboard!$B$7)</f>
        <v/>
      </c>
      <c r="Q161" s="9" t="str">
        <f t="shared" ca="1" si="2"/>
        <v/>
      </c>
    </row>
    <row r="162" spans="1:17" ht="25.5">
      <c r="A162" s="5">
        <v>45</v>
      </c>
      <c r="B162" s="5" t="s">
        <v>21</v>
      </c>
      <c r="C162" s="5" t="s">
        <v>318</v>
      </c>
      <c r="D162" s="5">
        <v>455</v>
      </c>
      <c r="E162" s="5" t="s">
        <v>904</v>
      </c>
      <c r="F162" s="5" t="s">
        <v>43</v>
      </c>
      <c r="G162" s="27" t="s">
        <v>905</v>
      </c>
      <c r="H162" s="8" t="s">
        <v>591</v>
      </c>
      <c r="I162" s="8"/>
      <c r="J162" s="8"/>
      <c r="K162" s="25"/>
      <c r="L162" s="26"/>
      <c r="M162" s="8"/>
      <c r="N162" s="9" t="str">
        <f>IF($K162="","",$K162+Dashboard!$B$5)</f>
        <v/>
      </c>
      <c r="O162" s="9" t="str">
        <f>IF($K162="","",$K162+Dashboard!$B$6)</f>
        <v/>
      </c>
      <c r="P162" s="9" t="str">
        <f>IF($K162="","",$K162+Dashboard!$B$7)</f>
        <v/>
      </c>
      <c r="Q162" s="9" t="str">
        <f t="shared" ca="1" si="2"/>
        <v/>
      </c>
    </row>
    <row r="163" spans="1:17" ht="25.5">
      <c r="A163" s="5">
        <v>45</v>
      </c>
      <c r="B163" s="5" t="s">
        <v>21</v>
      </c>
      <c r="C163" s="5" t="s">
        <v>318</v>
      </c>
      <c r="D163" s="5">
        <v>860</v>
      </c>
      <c r="E163" s="5" t="s">
        <v>906</v>
      </c>
      <c r="F163" s="5" t="s">
        <v>43</v>
      </c>
      <c r="G163" s="27" t="s">
        <v>907</v>
      </c>
      <c r="H163" s="8" t="s">
        <v>591</v>
      </c>
      <c r="I163" s="8"/>
      <c r="J163" s="8"/>
      <c r="K163" s="25"/>
      <c r="L163" s="26"/>
      <c r="M163" s="8"/>
      <c r="N163" s="9" t="str">
        <f>IF($K163="","",$K163+Dashboard!$B$5)</f>
        <v/>
      </c>
      <c r="O163" s="9" t="str">
        <f>IF($K163="","",$K163+Dashboard!$B$6)</f>
        <v/>
      </c>
      <c r="P163" s="9" t="str">
        <f>IF($K163="","",$K163+Dashboard!$B$7)</f>
        <v/>
      </c>
      <c r="Q163" s="9" t="str">
        <f t="shared" ca="1" si="2"/>
        <v/>
      </c>
    </row>
    <row r="164" spans="1:17" ht="25.5">
      <c r="A164" s="5">
        <v>45</v>
      </c>
      <c r="B164" s="5" t="s">
        <v>21</v>
      </c>
      <c r="C164" s="5" t="s">
        <v>318</v>
      </c>
      <c r="D164" s="5">
        <v>605</v>
      </c>
      <c r="E164" s="5" t="s">
        <v>908</v>
      </c>
      <c r="F164" s="5" t="s">
        <v>43</v>
      </c>
      <c r="G164" s="27" t="s">
        <v>909</v>
      </c>
      <c r="H164" s="8" t="s">
        <v>591</v>
      </c>
      <c r="I164" s="8"/>
      <c r="J164" s="8"/>
      <c r="K164" s="25"/>
      <c r="L164" s="26"/>
      <c r="M164" s="8"/>
      <c r="N164" s="9" t="str">
        <f>IF($K164="","",$K164+Dashboard!$B$5)</f>
        <v/>
      </c>
      <c r="O164" s="9" t="str">
        <f>IF($K164="","",$K164+Dashboard!$B$6)</f>
        <v/>
      </c>
      <c r="P164" s="9" t="str">
        <f>IF($K164="","",$K164+Dashboard!$B$7)</f>
        <v/>
      </c>
      <c r="Q164" s="9" t="str">
        <f t="shared" ca="1" si="2"/>
        <v/>
      </c>
    </row>
    <row r="165" spans="1:17" ht="25.5">
      <c r="A165" s="5">
        <v>45</v>
      </c>
      <c r="B165" s="5" t="s">
        <v>21</v>
      </c>
      <c r="C165" s="5" t="s">
        <v>318</v>
      </c>
      <c r="D165" s="5">
        <v>1005</v>
      </c>
      <c r="E165" s="5" t="s">
        <v>910</v>
      </c>
      <c r="F165" s="5" t="s">
        <v>43</v>
      </c>
      <c r="G165" s="27" t="s">
        <v>911</v>
      </c>
      <c r="H165" s="8" t="s">
        <v>591</v>
      </c>
      <c r="I165" s="8"/>
      <c r="J165" s="8"/>
      <c r="K165" s="25"/>
      <c r="L165" s="26"/>
      <c r="M165" s="8"/>
      <c r="N165" s="9" t="str">
        <f>IF($K165="","",$K165+Dashboard!$B$5)</f>
        <v/>
      </c>
      <c r="O165" s="9" t="str">
        <f>IF($K165="","",$K165+Dashboard!$B$6)</f>
        <v/>
      </c>
      <c r="P165" s="9" t="str">
        <f>IF($K165="","",$K165+Dashboard!$B$7)</f>
        <v/>
      </c>
      <c r="Q165" s="9" t="str">
        <f t="shared" ca="1" si="2"/>
        <v/>
      </c>
    </row>
    <row r="166" spans="1:17" ht="25.5">
      <c r="A166" s="5">
        <v>46</v>
      </c>
      <c r="B166" s="5" t="s">
        <v>21</v>
      </c>
      <c r="C166" s="5" t="s">
        <v>323</v>
      </c>
      <c r="D166" s="5">
        <v>122</v>
      </c>
      <c r="E166" s="5" t="s">
        <v>912</v>
      </c>
      <c r="F166" s="5" t="s">
        <v>45</v>
      </c>
      <c r="G166" s="27" t="s">
        <v>913</v>
      </c>
      <c r="H166" s="8" t="s">
        <v>591</v>
      </c>
      <c r="I166" s="8"/>
      <c r="J166" s="8"/>
      <c r="K166" s="25"/>
      <c r="L166" s="26"/>
      <c r="M166" s="8"/>
      <c r="N166" s="9" t="str">
        <f>IF($K166="","",$K166+Dashboard!$B$5)</f>
        <v/>
      </c>
      <c r="O166" s="9" t="str">
        <f>IF($K166="","",$K166+Dashboard!$B$6)</f>
        <v/>
      </c>
      <c r="P166" s="9" t="str">
        <f>IF($K166="","",$K166+Dashboard!$B$7)</f>
        <v/>
      </c>
      <c r="Q166" s="9" t="str">
        <f t="shared" ca="1" si="2"/>
        <v/>
      </c>
    </row>
    <row r="167" spans="1:17">
      <c r="A167" s="5">
        <v>46</v>
      </c>
      <c r="B167" s="5" t="s">
        <v>21</v>
      </c>
      <c r="C167" s="5" t="s">
        <v>323</v>
      </c>
      <c r="D167" s="5">
        <v>55</v>
      </c>
      <c r="E167" s="5" t="s">
        <v>914</v>
      </c>
      <c r="F167" s="5" t="s">
        <v>45</v>
      </c>
      <c r="G167" s="27" t="s">
        <v>915</v>
      </c>
      <c r="H167" s="8" t="s">
        <v>591</v>
      </c>
      <c r="I167" s="8"/>
      <c r="J167" s="8"/>
      <c r="K167" s="25"/>
      <c r="L167" s="26"/>
      <c r="M167" s="8"/>
      <c r="N167" s="9" t="str">
        <f>IF($K167="","",$K167+Dashboard!$B$5)</f>
        <v/>
      </c>
      <c r="O167" s="9" t="str">
        <f>IF($K167="","",$K167+Dashboard!$B$6)</f>
        <v/>
      </c>
      <c r="P167" s="9" t="str">
        <f>IF($K167="","",$K167+Dashboard!$B$7)</f>
        <v/>
      </c>
      <c r="Q167" s="9" t="str">
        <f t="shared" ca="1" si="2"/>
        <v/>
      </c>
    </row>
    <row r="168" spans="1:17" ht="25.5">
      <c r="A168" s="5">
        <v>46</v>
      </c>
      <c r="B168" s="5" t="s">
        <v>21</v>
      </c>
      <c r="C168" s="5" t="s">
        <v>323</v>
      </c>
      <c r="D168" s="5">
        <v>45</v>
      </c>
      <c r="E168" s="5" t="s">
        <v>916</v>
      </c>
      <c r="F168" s="5" t="s">
        <v>45</v>
      </c>
      <c r="G168" s="27" t="s">
        <v>917</v>
      </c>
      <c r="H168" s="8" t="s">
        <v>591</v>
      </c>
      <c r="I168" s="8"/>
      <c r="J168" s="8"/>
      <c r="K168" s="25"/>
      <c r="L168" s="26"/>
      <c r="M168" s="8"/>
      <c r="N168" s="9" t="str">
        <f>IF($K168="","",$K168+Dashboard!$B$5)</f>
        <v/>
      </c>
      <c r="O168" s="9" t="str">
        <f>IF($K168="","",$K168+Dashboard!$B$6)</f>
        <v/>
      </c>
      <c r="P168" s="9" t="str">
        <f>IF($K168="","",$K168+Dashboard!$B$7)</f>
        <v/>
      </c>
      <c r="Q168" s="9" t="str">
        <f t="shared" ca="1" si="2"/>
        <v/>
      </c>
    </row>
    <row r="169" spans="1:17">
      <c r="A169" s="5">
        <v>46</v>
      </c>
      <c r="B169" s="5" t="s">
        <v>21</v>
      </c>
      <c r="C169" s="5" t="s">
        <v>323</v>
      </c>
      <c r="D169" s="5">
        <v>134</v>
      </c>
      <c r="E169" s="5" t="s">
        <v>918</v>
      </c>
      <c r="F169" s="5" t="s">
        <v>45</v>
      </c>
      <c r="G169" s="27" t="s">
        <v>919</v>
      </c>
      <c r="H169" s="8" t="s">
        <v>591</v>
      </c>
      <c r="I169" s="8"/>
      <c r="J169" s="8"/>
      <c r="K169" s="25"/>
      <c r="L169" s="26"/>
      <c r="M169" s="8"/>
      <c r="N169" s="9" t="str">
        <f>IF($K169="","",$K169+Dashboard!$B$5)</f>
        <v/>
      </c>
      <c r="O169" s="9" t="str">
        <f>IF($K169="","",$K169+Dashboard!$B$6)</f>
        <v/>
      </c>
      <c r="P169" s="9" t="str">
        <f>IF($K169="","",$K169+Dashboard!$B$7)</f>
        <v/>
      </c>
      <c r="Q169" s="9" t="str">
        <f t="shared" ca="1" si="2"/>
        <v/>
      </c>
    </row>
    <row r="170" spans="1:17" ht="25.5">
      <c r="A170" s="5">
        <v>47</v>
      </c>
      <c r="B170" s="5" t="s">
        <v>21</v>
      </c>
      <c r="C170" s="5" t="s">
        <v>328</v>
      </c>
      <c r="D170" s="5">
        <v>435</v>
      </c>
      <c r="E170" s="5" t="s">
        <v>920</v>
      </c>
      <c r="F170" s="5" t="s">
        <v>45</v>
      </c>
      <c r="G170" s="27" t="s">
        <v>921</v>
      </c>
      <c r="H170" s="8" t="s">
        <v>591</v>
      </c>
      <c r="I170" s="8"/>
      <c r="J170" s="8"/>
      <c r="K170" s="25"/>
      <c r="L170" s="26"/>
      <c r="M170" s="8"/>
      <c r="N170" s="9" t="str">
        <f>IF($K170="","",$K170+Dashboard!$B$5)</f>
        <v/>
      </c>
      <c r="O170" s="9" t="str">
        <f>IF($K170="","",$K170+Dashboard!$B$6)</f>
        <v/>
      </c>
      <c r="P170" s="9" t="str">
        <f>IF($K170="","",$K170+Dashboard!$B$7)</f>
        <v/>
      </c>
      <c r="Q170" s="9" t="str">
        <f t="shared" ca="1" si="2"/>
        <v/>
      </c>
    </row>
    <row r="171" spans="1:17" ht="25.5">
      <c r="A171" s="5">
        <v>47</v>
      </c>
      <c r="B171" s="5" t="s">
        <v>21</v>
      </c>
      <c r="C171" s="5" t="s">
        <v>328</v>
      </c>
      <c r="D171" s="5">
        <v>452</v>
      </c>
      <c r="E171" s="5" t="s">
        <v>922</v>
      </c>
      <c r="F171" s="5" t="s">
        <v>45</v>
      </c>
      <c r="G171" s="27" t="s">
        <v>923</v>
      </c>
      <c r="H171" s="8" t="s">
        <v>591</v>
      </c>
      <c r="I171" s="8"/>
      <c r="J171" s="8"/>
      <c r="K171" s="25"/>
      <c r="L171" s="26"/>
      <c r="M171" s="8"/>
      <c r="N171" s="9" t="str">
        <f>IF($K171="","",$K171+Dashboard!$B$5)</f>
        <v/>
      </c>
      <c r="O171" s="9" t="str">
        <f>IF($K171="","",$K171+Dashboard!$B$6)</f>
        <v/>
      </c>
      <c r="P171" s="9" t="str">
        <f>IF($K171="","",$K171+Dashboard!$B$7)</f>
        <v/>
      </c>
      <c r="Q171" s="9" t="str">
        <f t="shared" ca="1" si="2"/>
        <v/>
      </c>
    </row>
    <row r="172" spans="1:17" ht="38.25">
      <c r="A172" s="5">
        <v>47</v>
      </c>
      <c r="B172" s="5" t="s">
        <v>21</v>
      </c>
      <c r="C172" s="5" t="s">
        <v>328</v>
      </c>
      <c r="D172" s="5">
        <v>1353</v>
      </c>
      <c r="E172" s="5" t="s">
        <v>924</v>
      </c>
      <c r="F172" s="5" t="s">
        <v>45</v>
      </c>
      <c r="G172" s="27" t="s">
        <v>925</v>
      </c>
      <c r="H172" s="8" t="s">
        <v>591</v>
      </c>
      <c r="I172" s="8"/>
      <c r="J172" s="8"/>
      <c r="K172" s="25"/>
      <c r="L172" s="26"/>
      <c r="M172" s="8"/>
      <c r="N172" s="9" t="str">
        <f>IF($K172="","",$K172+Dashboard!$B$5)</f>
        <v/>
      </c>
      <c r="O172" s="9" t="str">
        <f>IF($K172="","",$K172+Dashboard!$B$6)</f>
        <v/>
      </c>
      <c r="P172" s="9" t="str">
        <f>IF($K172="","",$K172+Dashboard!$B$7)</f>
        <v/>
      </c>
      <c r="Q172" s="9" t="str">
        <f t="shared" ca="1" si="2"/>
        <v/>
      </c>
    </row>
    <row r="173" spans="1:17" ht="25.5">
      <c r="A173" s="5">
        <v>47</v>
      </c>
      <c r="B173" s="5" t="s">
        <v>21</v>
      </c>
      <c r="C173" s="5" t="s">
        <v>328</v>
      </c>
      <c r="D173" s="5">
        <v>763</v>
      </c>
      <c r="E173" s="5" t="s">
        <v>926</v>
      </c>
      <c r="F173" s="5" t="s">
        <v>45</v>
      </c>
      <c r="G173" s="27" t="s">
        <v>927</v>
      </c>
      <c r="H173" s="8" t="s">
        <v>591</v>
      </c>
      <c r="I173" s="8"/>
      <c r="J173" s="8"/>
      <c r="K173" s="25"/>
      <c r="L173" s="26"/>
      <c r="M173" s="8"/>
      <c r="N173" s="9" t="str">
        <f>IF($K173="","",$K173+Dashboard!$B$5)</f>
        <v/>
      </c>
      <c r="O173" s="9" t="str">
        <f>IF($K173="","",$K173+Dashboard!$B$6)</f>
        <v/>
      </c>
      <c r="P173" s="9" t="str">
        <f>IF($K173="","",$K173+Dashboard!$B$7)</f>
        <v/>
      </c>
      <c r="Q173" s="9" t="str">
        <f t="shared" ca="1" si="2"/>
        <v/>
      </c>
    </row>
    <row r="174" spans="1:17" ht="25.5">
      <c r="A174" s="5">
        <v>48</v>
      </c>
      <c r="B174" s="5" t="s">
        <v>21</v>
      </c>
      <c r="C174" s="5" t="s">
        <v>333</v>
      </c>
      <c r="D174" s="5">
        <v>406</v>
      </c>
      <c r="E174" s="5" t="s">
        <v>928</v>
      </c>
      <c r="F174" s="5" t="s">
        <v>45</v>
      </c>
      <c r="G174" s="27" t="s">
        <v>929</v>
      </c>
      <c r="H174" s="8" t="s">
        <v>591</v>
      </c>
      <c r="I174" s="8"/>
      <c r="J174" s="8"/>
      <c r="K174" s="25"/>
      <c r="L174" s="26"/>
      <c r="M174" s="8"/>
      <c r="N174" s="9" t="str">
        <f>IF($K174="","",$K174+Dashboard!$B$5)</f>
        <v/>
      </c>
      <c r="O174" s="9" t="str">
        <f>IF($K174="","",$K174+Dashboard!$B$6)</f>
        <v/>
      </c>
      <c r="P174" s="9" t="str">
        <f>IF($K174="","",$K174+Dashboard!$B$7)</f>
        <v/>
      </c>
      <c r="Q174" s="9" t="str">
        <f t="shared" ca="1" si="2"/>
        <v/>
      </c>
    </row>
    <row r="175" spans="1:17" ht="25.5">
      <c r="A175" s="5">
        <v>48</v>
      </c>
      <c r="B175" s="5" t="s">
        <v>21</v>
      </c>
      <c r="C175" s="5" t="s">
        <v>333</v>
      </c>
      <c r="D175" s="5">
        <v>1029</v>
      </c>
      <c r="E175" s="5" t="s">
        <v>930</v>
      </c>
      <c r="F175" s="5" t="s">
        <v>45</v>
      </c>
      <c r="G175" s="27" t="s">
        <v>931</v>
      </c>
      <c r="H175" s="8" t="s">
        <v>591</v>
      </c>
      <c r="I175" s="8"/>
      <c r="J175" s="8"/>
      <c r="K175" s="25"/>
      <c r="L175" s="26"/>
      <c r="M175" s="8"/>
      <c r="N175" s="9" t="str">
        <f>IF($K175="","",$K175+Dashboard!$B$5)</f>
        <v/>
      </c>
      <c r="O175" s="9" t="str">
        <f>IF($K175="","",$K175+Dashboard!$B$6)</f>
        <v/>
      </c>
      <c r="P175" s="9" t="str">
        <f>IF($K175="","",$K175+Dashboard!$B$7)</f>
        <v/>
      </c>
      <c r="Q175" s="9" t="str">
        <f t="shared" ca="1" si="2"/>
        <v/>
      </c>
    </row>
    <row r="176" spans="1:17" ht="25.5">
      <c r="A176" s="5">
        <v>48</v>
      </c>
      <c r="B176" s="5" t="s">
        <v>21</v>
      </c>
      <c r="C176" s="5" t="s">
        <v>333</v>
      </c>
      <c r="D176" s="5">
        <v>881</v>
      </c>
      <c r="E176" s="5" t="s">
        <v>932</v>
      </c>
      <c r="F176" s="5" t="s">
        <v>45</v>
      </c>
      <c r="G176" s="27" t="s">
        <v>933</v>
      </c>
      <c r="H176" s="8" t="s">
        <v>591</v>
      </c>
      <c r="I176" s="8"/>
      <c r="J176" s="8"/>
      <c r="K176" s="25"/>
      <c r="L176" s="26"/>
      <c r="M176" s="8"/>
      <c r="N176" s="9" t="str">
        <f>IF($K176="","",$K176+Dashboard!$B$5)</f>
        <v/>
      </c>
      <c r="O176" s="9" t="str">
        <f>IF($K176="","",$K176+Dashboard!$B$6)</f>
        <v/>
      </c>
      <c r="P176" s="9" t="str">
        <f>IF($K176="","",$K176+Dashboard!$B$7)</f>
        <v/>
      </c>
      <c r="Q176" s="9" t="str">
        <f t="shared" ca="1" si="2"/>
        <v/>
      </c>
    </row>
    <row r="177" spans="1:17" ht="25.5">
      <c r="A177" s="5">
        <v>48</v>
      </c>
      <c r="B177" s="5" t="s">
        <v>21</v>
      </c>
      <c r="C177" s="5" t="s">
        <v>333</v>
      </c>
      <c r="D177" s="5">
        <v>1710</v>
      </c>
      <c r="E177" s="5" t="s">
        <v>934</v>
      </c>
      <c r="F177" s="5" t="s">
        <v>43</v>
      </c>
      <c r="G177" s="27" t="s">
        <v>935</v>
      </c>
      <c r="H177" s="8" t="s">
        <v>591</v>
      </c>
      <c r="I177" s="8"/>
      <c r="J177" s="8"/>
      <c r="K177" s="25"/>
      <c r="L177" s="26"/>
      <c r="M177" s="8"/>
      <c r="N177" s="9" t="str">
        <f>IF($K177="","",$K177+Dashboard!$B$5)</f>
        <v/>
      </c>
      <c r="O177" s="9" t="str">
        <f>IF($K177="","",$K177+Dashboard!$B$6)</f>
        <v/>
      </c>
      <c r="P177" s="9" t="str">
        <f>IF($K177="","",$K177+Dashboard!$B$7)</f>
        <v/>
      </c>
      <c r="Q177" s="9" t="str">
        <f t="shared" ca="1" si="2"/>
        <v/>
      </c>
    </row>
    <row r="178" spans="1:17">
      <c r="A178" s="5">
        <v>49</v>
      </c>
      <c r="B178" s="5" t="s">
        <v>21</v>
      </c>
      <c r="C178" s="5" t="s">
        <v>338</v>
      </c>
      <c r="D178" s="5">
        <v>135</v>
      </c>
      <c r="E178" s="5" t="s">
        <v>936</v>
      </c>
      <c r="F178" s="5" t="s">
        <v>47</v>
      </c>
      <c r="G178" s="27" t="s">
        <v>937</v>
      </c>
      <c r="H178" s="8" t="s">
        <v>591</v>
      </c>
      <c r="I178" s="8"/>
      <c r="J178" s="8"/>
      <c r="K178" s="25"/>
      <c r="L178" s="26"/>
      <c r="M178" s="8"/>
      <c r="N178" s="9" t="str">
        <f>IF($K178="","",$K178+Dashboard!$B$5)</f>
        <v/>
      </c>
      <c r="O178" s="9" t="str">
        <f>IF($K178="","",$K178+Dashboard!$B$6)</f>
        <v/>
      </c>
      <c r="P178" s="9" t="str">
        <f>IF($K178="","",$K178+Dashboard!$B$7)</f>
        <v/>
      </c>
      <c r="Q178" s="9" t="str">
        <f t="shared" ca="1" si="2"/>
        <v/>
      </c>
    </row>
    <row r="179" spans="1:17" ht="25.5">
      <c r="A179" s="5">
        <v>49</v>
      </c>
      <c r="B179" s="5" t="s">
        <v>21</v>
      </c>
      <c r="C179" s="5" t="s">
        <v>338</v>
      </c>
      <c r="D179" s="5">
        <v>767</v>
      </c>
      <c r="E179" s="5" t="s">
        <v>938</v>
      </c>
      <c r="F179" s="5" t="s">
        <v>45</v>
      </c>
      <c r="G179" s="27" t="s">
        <v>939</v>
      </c>
      <c r="H179" s="8" t="s">
        <v>591</v>
      </c>
      <c r="I179" s="8"/>
      <c r="J179" s="8"/>
      <c r="K179" s="25"/>
      <c r="L179" s="26"/>
      <c r="M179" s="8"/>
      <c r="N179" s="9" t="str">
        <f>IF($K179="","",$K179+Dashboard!$B$5)</f>
        <v/>
      </c>
      <c r="O179" s="9" t="str">
        <f>IF($K179="","",$K179+Dashboard!$B$6)</f>
        <v/>
      </c>
      <c r="P179" s="9" t="str">
        <f>IF($K179="","",$K179+Dashboard!$B$7)</f>
        <v/>
      </c>
      <c r="Q179" s="9" t="str">
        <f t="shared" ca="1" si="2"/>
        <v/>
      </c>
    </row>
    <row r="180" spans="1:17">
      <c r="A180" s="5">
        <v>49</v>
      </c>
      <c r="B180" s="5" t="s">
        <v>21</v>
      </c>
      <c r="C180" s="5" t="s">
        <v>338</v>
      </c>
      <c r="D180" s="5">
        <v>502</v>
      </c>
      <c r="E180" s="5" t="s">
        <v>940</v>
      </c>
      <c r="F180" s="5" t="s">
        <v>47</v>
      </c>
      <c r="G180" s="27" t="s">
        <v>941</v>
      </c>
      <c r="H180" s="8" t="s">
        <v>591</v>
      </c>
      <c r="I180" s="8"/>
      <c r="J180" s="8"/>
      <c r="K180" s="25"/>
      <c r="L180" s="26"/>
      <c r="M180" s="8"/>
      <c r="N180" s="9" t="str">
        <f>IF($K180="","",$K180+Dashboard!$B$5)</f>
        <v/>
      </c>
      <c r="O180" s="9" t="str">
        <f>IF($K180="","",$K180+Dashboard!$B$6)</f>
        <v/>
      </c>
      <c r="P180" s="9" t="str">
        <f>IF($K180="","",$K180+Dashboard!$B$7)</f>
        <v/>
      </c>
      <c r="Q180" s="9" t="str">
        <f t="shared" ca="1" si="2"/>
        <v/>
      </c>
    </row>
    <row r="181" spans="1:17" ht="25.5">
      <c r="A181" s="5">
        <v>49</v>
      </c>
      <c r="B181" s="5" t="s">
        <v>21</v>
      </c>
      <c r="C181" s="5" t="s">
        <v>338</v>
      </c>
      <c r="D181" s="5">
        <v>1642</v>
      </c>
      <c r="E181" s="5" t="s">
        <v>942</v>
      </c>
      <c r="F181" s="5" t="s">
        <v>45</v>
      </c>
      <c r="G181" s="27" t="s">
        <v>943</v>
      </c>
      <c r="H181" s="8" t="s">
        <v>591</v>
      </c>
      <c r="I181" s="8"/>
      <c r="J181" s="8"/>
      <c r="K181" s="25"/>
      <c r="L181" s="26"/>
      <c r="M181" s="8"/>
      <c r="N181" s="9" t="str">
        <f>IF($K181="","",$K181+Dashboard!$B$5)</f>
        <v/>
      </c>
      <c r="O181" s="9" t="str">
        <f>IF($K181="","",$K181+Dashboard!$B$6)</f>
        <v/>
      </c>
      <c r="P181" s="9" t="str">
        <f>IF($K181="","",$K181+Dashboard!$B$7)</f>
        <v/>
      </c>
      <c r="Q181" s="9" t="str">
        <f t="shared" ca="1" si="2"/>
        <v/>
      </c>
    </row>
    <row r="182" spans="1:17" ht="25.5">
      <c r="A182" s="5">
        <v>50</v>
      </c>
      <c r="B182" s="5" t="s">
        <v>21</v>
      </c>
      <c r="C182" s="5" t="s">
        <v>343</v>
      </c>
      <c r="D182" s="5">
        <v>402</v>
      </c>
      <c r="E182" s="5" t="s">
        <v>944</v>
      </c>
      <c r="F182" s="5" t="s">
        <v>45</v>
      </c>
      <c r="G182" s="27" t="s">
        <v>945</v>
      </c>
      <c r="H182" s="8" t="s">
        <v>591</v>
      </c>
      <c r="I182" s="8"/>
      <c r="J182" s="8"/>
      <c r="K182" s="25"/>
      <c r="L182" s="26"/>
      <c r="M182" s="8"/>
      <c r="N182" s="9" t="str">
        <f>IF($K182="","",$K182+Dashboard!$B$5)</f>
        <v/>
      </c>
      <c r="O182" s="9" t="str">
        <f>IF($K182="","",$K182+Dashboard!$B$6)</f>
        <v/>
      </c>
      <c r="P182" s="9" t="str">
        <f>IF($K182="","",$K182+Dashboard!$B$7)</f>
        <v/>
      </c>
      <c r="Q182" s="9" t="str">
        <f t="shared" ca="1" si="2"/>
        <v/>
      </c>
    </row>
    <row r="183" spans="1:17" ht="25.5">
      <c r="A183" s="5">
        <v>50</v>
      </c>
      <c r="B183" s="5" t="s">
        <v>21</v>
      </c>
      <c r="C183" s="5" t="s">
        <v>343</v>
      </c>
      <c r="D183" s="5">
        <v>316</v>
      </c>
      <c r="E183" s="5" t="s">
        <v>946</v>
      </c>
      <c r="F183" s="5" t="s">
        <v>45</v>
      </c>
      <c r="G183" s="27" t="s">
        <v>947</v>
      </c>
      <c r="H183" s="8" t="s">
        <v>591</v>
      </c>
      <c r="I183" s="8"/>
      <c r="J183" s="8"/>
      <c r="K183" s="25"/>
      <c r="L183" s="26"/>
      <c r="M183" s="8"/>
      <c r="N183" s="9" t="str">
        <f>IF($K183="","",$K183+Dashboard!$B$5)</f>
        <v/>
      </c>
      <c r="O183" s="9" t="str">
        <f>IF($K183="","",$K183+Dashboard!$B$6)</f>
        <v/>
      </c>
      <c r="P183" s="9" t="str">
        <f>IF($K183="","",$K183+Dashboard!$B$7)</f>
        <v/>
      </c>
      <c r="Q183" s="9" t="str">
        <f t="shared" ca="1" si="2"/>
        <v/>
      </c>
    </row>
    <row r="184" spans="1:17" ht="25.5">
      <c r="A184" s="5">
        <v>50</v>
      </c>
      <c r="B184" s="5" t="s">
        <v>21</v>
      </c>
      <c r="C184" s="5" t="s">
        <v>343</v>
      </c>
      <c r="D184" s="5">
        <v>738</v>
      </c>
      <c r="E184" s="5" t="s">
        <v>948</v>
      </c>
      <c r="F184" s="5" t="s">
        <v>45</v>
      </c>
      <c r="G184" s="27" t="s">
        <v>949</v>
      </c>
      <c r="H184" s="8" t="s">
        <v>591</v>
      </c>
      <c r="I184" s="8"/>
      <c r="J184" s="8"/>
      <c r="K184" s="25"/>
      <c r="L184" s="26"/>
      <c r="M184" s="8"/>
      <c r="N184" s="9" t="str">
        <f>IF($K184="","",$K184+Dashboard!$B$5)</f>
        <v/>
      </c>
      <c r="O184" s="9" t="str">
        <f>IF($K184="","",$K184+Dashboard!$B$6)</f>
        <v/>
      </c>
      <c r="P184" s="9" t="str">
        <f>IF($K184="","",$K184+Dashboard!$B$7)</f>
        <v/>
      </c>
      <c r="Q184" s="9" t="str">
        <f t="shared" ca="1" si="2"/>
        <v/>
      </c>
    </row>
    <row r="185" spans="1:17" ht="25.5">
      <c r="A185" s="5">
        <v>50</v>
      </c>
      <c r="B185" s="5" t="s">
        <v>21</v>
      </c>
      <c r="C185" s="5" t="s">
        <v>343</v>
      </c>
      <c r="D185" s="5">
        <v>330</v>
      </c>
      <c r="E185" s="5" t="s">
        <v>950</v>
      </c>
      <c r="F185" s="5" t="s">
        <v>47</v>
      </c>
      <c r="G185" s="27" t="s">
        <v>951</v>
      </c>
      <c r="H185" s="8" t="s">
        <v>591</v>
      </c>
      <c r="I185" s="8"/>
      <c r="J185" s="8"/>
      <c r="K185" s="25"/>
      <c r="L185" s="26"/>
      <c r="M185" s="8"/>
      <c r="N185" s="9" t="str">
        <f>IF($K185="","",$K185+Dashboard!$B$5)</f>
        <v/>
      </c>
      <c r="O185" s="9" t="str">
        <f>IF($K185="","",$K185+Dashboard!$B$6)</f>
        <v/>
      </c>
      <c r="P185" s="9" t="str">
        <f>IF($K185="","",$K185+Dashboard!$B$7)</f>
        <v/>
      </c>
      <c r="Q185" s="9" t="str">
        <f t="shared" ca="1" si="2"/>
        <v/>
      </c>
    </row>
    <row r="186" spans="1:17" ht="25.5">
      <c r="A186" s="5">
        <v>51</v>
      </c>
      <c r="B186" s="5" t="s">
        <v>21</v>
      </c>
      <c r="C186" s="5" t="s">
        <v>348</v>
      </c>
      <c r="D186" s="5">
        <v>1584</v>
      </c>
      <c r="E186" s="5" t="s">
        <v>952</v>
      </c>
      <c r="F186" s="5" t="s">
        <v>45</v>
      </c>
      <c r="G186" s="27" t="s">
        <v>953</v>
      </c>
      <c r="H186" s="8" t="s">
        <v>591</v>
      </c>
      <c r="I186" s="8"/>
      <c r="J186" s="8"/>
      <c r="K186" s="25"/>
      <c r="L186" s="26"/>
      <c r="M186" s="8"/>
      <c r="N186" s="9" t="str">
        <f>IF($K186="","",$K186+Dashboard!$B$5)</f>
        <v/>
      </c>
      <c r="O186" s="9" t="str">
        <f>IF($K186="","",$K186+Dashboard!$B$6)</f>
        <v/>
      </c>
      <c r="P186" s="9" t="str">
        <f>IF($K186="","",$K186+Dashboard!$B$7)</f>
        <v/>
      </c>
      <c r="Q186" s="9" t="str">
        <f t="shared" ca="1" si="2"/>
        <v/>
      </c>
    </row>
    <row r="187" spans="1:17" ht="25.5">
      <c r="A187" s="5">
        <v>51</v>
      </c>
      <c r="B187" s="5" t="s">
        <v>21</v>
      </c>
      <c r="C187" s="5" t="s">
        <v>348</v>
      </c>
      <c r="D187" s="5">
        <v>743</v>
      </c>
      <c r="E187" s="5" t="s">
        <v>954</v>
      </c>
      <c r="F187" s="5" t="s">
        <v>45</v>
      </c>
      <c r="G187" s="27" t="s">
        <v>955</v>
      </c>
      <c r="H187" s="8" t="s">
        <v>591</v>
      </c>
      <c r="I187" s="8"/>
      <c r="J187" s="8"/>
      <c r="K187" s="25"/>
      <c r="L187" s="26"/>
      <c r="M187" s="8"/>
      <c r="N187" s="9" t="str">
        <f>IF($K187="","",$K187+Dashboard!$B$5)</f>
        <v/>
      </c>
      <c r="O187" s="9" t="str">
        <f>IF($K187="","",$K187+Dashboard!$B$6)</f>
        <v/>
      </c>
      <c r="P187" s="9" t="str">
        <f>IF($K187="","",$K187+Dashboard!$B$7)</f>
        <v/>
      </c>
      <c r="Q187" s="9" t="str">
        <f t="shared" ca="1" si="2"/>
        <v/>
      </c>
    </row>
    <row r="188" spans="1:17" ht="25.5">
      <c r="A188" s="5">
        <v>51</v>
      </c>
      <c r="B188" s="5" t="s">
        <v>21</v>
      </c>
      <c r="C188" s="5" t="s">
        <v>348</v>
      </c>
      <c r="D188" s="5">
        <v>861</v>
      </c>
      <c r="E188" s="5" t="s">
        <v>956</v>
      </c>
      <c r="F188" s="5" t="s">
        <v>45</v>
      </c>
      <c r="G188" s="27" t="s">
        <v>957</v>
      </c>
      <c r="H188" s="8" t="s">
        <v>591</v>
      </c>
      <c r="I188" s="8"/>
      <c r="J188" s="8"/>
      <c r="K188" s="25"/>
      <c r="L188" s="26"/>
      <c r="M188" s="8"/>
      <c r="N188" s="9" t="str">
        <f>IF($K188="","",$K188+Dashboard!$B$5)</f>
        <v/>
      </c>
      <c r="O188" s="9" t="str">
        <f>IF($K188="","",$K188+Dashboard!$B$6)</f>
        <v/>
      </c>
      <c r="P188" s="9" t="str">
        <f>IF($K188="","",$K188+Dashboard!$B$7)</f>
        <v/>
      </c>
      <c r="Q188" s="9" t="str">
        <f t="shared" ca="1" si="2"/>
        <v/>
      </c>
    </row>
    <row r="189" spans="1:17">
      <c r="A189" s="5">
        <v>52</v>
      </c>
      <c r="B189" s="5" t="s">
        <v>23</v>
      </c>
      <c r="C189" s="5" t="s">
        <v>353</v>
      </c>
      <c r="D189" s="5">
        <v>148</v>
      </c>
      <c r="E189" s="5" t="s">
        <v>958</v>
      </c>
      <c r="F189" s="5" t="s">
        <v>45</v>
      </c>
      <c r="G189" s="27" t="s">
        <v>959</v>
      </c>
      <c r="H189" s="8" t="s">
        <v>591</v>
      </c>
      <c r="I189" s="8"/>
      <c r="J189" s="8"/>
      <c r="K189" s="25"/>
      <c r="L189" s="26"/>
      <c r="M189" s="8"/>
      <c r="N189" s="9" t="str">
        <f>IF($K189="","",$K189+Dashboard!$B$5)</f>
        <v/>
      </c>
      <c r="O189" s="9" t="str">
        <f>IF($K189="","",$K189+Dashboard!$B$6)</f>
        <v/>
      </c>
      <c r="P189" s="9" t="str">
        <f>IF($K189="","",$K189+Dashboard!$B$7)</f>
        <v/>
      </c>
      <c r="Q189" s="9" t="str">
        <f t="shared" ca="1" si="2"/>
        <v/>
      </c>
    </row>
    <row r="190" spans="1:17" ht="25.5">
      <c r="A190" s="5">
        <v>52</v>
      </c>
      <c r="B190" s="5" t="s">
        <v>23</v>
      </c>
      <c r="C190" s="5" t="s">
        <v>353</v>
      </c>
      <c r="D190" s="5">
        <v>108</v>
      </c>
      <c r="E190" s="5" t="s">
        <v>960</v>
      </c>
      <c r="F190" s="5" t="s">
        <v>43</v>
      </c>
      <c r="G190" s="27" t="s">
        <v>961</v>
      </c>
      <c r="H190" s="8" t="s">
        <v>591</v>
      </c>
      <c r="I190" s="8"/>
      <c r="J190" s="8"/>
      <c r="K190" s="25"/>
      <c r="L190" s="26"/>
      <c r="M190" s="8"/>
      <c r="N190" s="9" t="str">
        <f>IF($K190="","",$K190+Dashboard!$B$5)</f>
        <v/>
      </c>
      <c r="O190" s="9" t="str">
        <f>IF($K190="","",$K190+Dashboard!$B$6)</f>
        <v/>
      </c>
      <c r="P190" s="9" t="str">
        <f>IF($K190="","",$K190+Dashboard!$B$7)</f>
        <v/>
      </c>
      <c r="Q190" s="9" t="str">
        <f t="shared" ca="1" si="2"/>
        <v/>
      </c>
    </row>
    <row r="191" spans="1:17" ht="25.5">
      <c r="A191" s="5">
        <v>52</v>
      </c>
      <c r="B191" s="5" t="s">
        <v>23</v>
      </c>
      <c r="C191" s="5" t="s">
        <v>353</v>
      </c>
      <c r="D191" s="5">
        <v>109</v>
      </c>
      <c r="E191" s="5" t="s">
        <v>962</v>
      </c>
      <c r="F191" s="5" t="s">
        <v>45</v>
      </c>
      <c r="G191" s="27" t="s">
        <v>963</v>
      </c>
      <c r="H191" s="8" t="s">
        <v>591</v>
      </c>
      <c r="I191" s="8"/>
      <c r="J191" s="8"/>
      <c r="K191" s="25"/>
      <c r="L191" s="26"/>
      <c r="M191" s="8"/>
      <c r="N191" s="9" t="str">
        <f>IF($K191="","",$K191+Dashboard!$B$5)</f>
        <v/>
      </c>
      <c r="O191" s="9" t="str">
        <f>IF($K191="","",$K191+Dashboard!$B$6)</f>
        <v/>
      </c>
      <c r="P191" s="9" t="str">
        <f>IF($K191="","",$K191+Dashboard!$B$7)</f>
        <v/>
      </c>
      <c r="Q191" s="9" t="str">
        <f t="shared" ca="1" si="2"/>
        <v/>
      </c>
    </row>
    <row r="192" spans="1:17" ht="38.25">
      <c r="A192" s="5">
        <v>52</v>
      </c>
      <c r="B192" s="5" t="s">
        <v>23</v>
      </c>
      <c r="C192" s="5" t="s">
        <v>353</v>
      </c>
      <c r="D192" s="5">
        <v>106</v>
      </c>
      <c r="E192" s="5" t="s">
        <v>964</v>
      </c>
      <c r="F192" s="5" t="s">
        <v>45</v>
      </c>
      <c r="G192" s="27" t="s">
        <v>965</v>
      </c>
      <c r="H192" s="8" t="s">
        <v>591</v>
      </c>
      <c r="I192" s="8"/>
      <c r="J192" s="8"/>
      <c r="K192" s="25"/>
      <c r="L192" s="26"/>
      <c r="M192" s="8"/>
      <c r="N192" s="9" t="str">
        <f>IF($K192="","",$K192+Dashboard!$B$5)</f>
        <v/>
      </c>
      <c r="O192" s="9" t="str">
        <f>IF($K192="","",$K192+Dashboard!$B$6)</f>
        <v/>
      </c>
      <c r="P192" s="9" t="str">
        <f>IF($K192="","",$K192+Dashboard!$B$7)</f>
        <v/>
      </c>
      <c r="Q192" s="9" t="str">
        <f t="shared" ca="1" si="2"/>
        <v/>
      </c>
    </row>
    <row r="193" spans="1:17">
      <c r="A193" s="5">
        <v>53</v>
      </c>
      <c r="B193" s="5" t="s">
        <v>23</v>
      </c>
      <c r="C193" s="5" t="s">
        <v>358</v>
      </c>
      <c r="D193" s="5">
        <v>372</v>
      </c>
      <c r="E193" s="5" t="s">
        <v>966</v>
      </c>
      <c r="F193" s="5" t="s">
        <v>45</v>
      </c>
      <c r="G193" s="27" t="s">
        <v>967</v>
      </c>
      <c r="H193" s="8" t="s">
        <v>591</v>
      </c>
      <c r="I193" s="8"/>
      <c r="J193" s="8"/>
      <c r="K193" s="25"/>
      <c r="L193" s="26"/>
      <c r="M193" s="8"/>
      <c r="N193" s="9" t="str">
        <f>IF($K193="","",$K193+Dashboard!$B$5)</f>
        <v/>
      </c>
      <c r="O193" s="9" t="str">
        <f>IF($K193="","",$K193+Dashboard!$B$6)</f>
        <v/>
      </c>
      <c r="P193" s="9" t="str">
        <f>IF($K193="","",$K193+Dashboard!$B$7)</f>
        <v/>
      </c>
      <c r="Q193" s="9" t="str">
        <f t="shared" ca="1" si="2"/>
        <v/>
      </c>
    </row>
    <row r="194" spans="1:17" ht="25.5">
      <c r="A194" s="5">
        <v>53</v>
      </c>
      <c r="B194" s="5" t="s">
        <v>23</v>
      </c>
      <c r="C194" s="5" t="s">
        <v>358</v>
      </c>
      <c r="D194" s="5">
        <v>241</v>
      </c>
      <c r="E194" s="5" t="s">
        <v>968</v>
      </c>
      <c r="F194" s="5" t="s">
        <v>45</v>
      </c>
      <c r="G194" s="27" t="s">
        <v>969</v>
      </c>
      <c r="H194" s="8" t="s">
        <v>591</v>
      </c>
      <c r="I194" s="8"/>
      <c r="J194" s="8"/>
      <c r="K194" s="25"/>
      <c r="L194" s="26"/>
      <c r="M194" s="8"/>
      <c r="N194" s="9" t="str">
        <f>IF($K194="","",$K194+Dashboard!$B$5)</f>
        <v/>
      </c>
      <c r="O194" s="9" t="str">
        <f>IF($K194="","",$K194+Dashboard!$B$6)</f>
        <v/>
      </c>
      <c r="P194" s="9" t="str">
        <f>IF($K194="","",$K194+Dashboard!$B$7)</f>
        <v/>
      </c>
      <c r="Q194" s="9" t="str">
        <f t="shared" ca="1" si="2"/>
        <v/>
      </c>
    </row>
    <row r="195" spans="1:17" ht="25.5">
      <c r="A195" s="5">
        <v>53</v>
      </c>
      <c r="B195" s="5" t="s">
        <v>23</v>
      </c>
      <c r="C195" s="5" t="s">
        <v>358</v>
      </c>
      <c r="D195" s="5">
        <v>95</v>
      </c>
      <c r="E195" s="5" t="s">
        <v>970</v>
      </c>
      <c r="F195" s="5" t="s">
        <v>45</v>
      </c>
      <c r="G195" s="27" t="s">
        <v>971</v>
      </c>
      <c r="H195" s="8" t="s">
        <v>591</v>
      </c>
      <c r="I195" s="8"/>
      <c r="J195" s="8"/>
      <c r="K195" s="25"/>
      <c r="L195" s="26"/>
      <c r="M195" s="8"/>
      <c r="N195" s="9" t="str">
        <f>IF($K195="","",$K195+Dashboard!$B$5)</f>
        <v/>
      </c>
      <c r="O195" s="9" t="str">
        <f>IF($K195="","",$K195+Dashboard!$B$6)</f>
        <v/>
      </c>
      <c r="P195" s="9" t="str">
        <f>IF($K195="","",$K195+Dashboard!$B$7)</f>
        <v/>
      </c>
      <c r="Q195" s="9" t="str">
        <f t="shared" ca="1" si="2"/>
        <v/>
      </c>
    </row>
    <row r="196" spans="1:17" ht="38.25">
      <c r="A196" s="5">
        <v>54</v>
      </c>
      <c r="B196" s="5" t="s">
        <v>23</v>
      </c>
      <c r="C196" s="5" t="s">
        <v>363</v>
      </c>
      <c r="D196" s="5">
        <v>395</v>
      </c>
      <c r="E196" s="5" t="s">
        <v>972</v>
      </c>
      <c r="F196" s="5" t="s">
        <v>45</v>
      </c>
      <c r="G196" s="27" t="s">
        <v>973</v>
      </c>
      <c r="H196" s="8" t="s">
        <v>591</v>
      </c>
      <c r="I196" s="8"/>
      <c r="J196" s="8"/>
      <c r="K196" s="25"/>
      <c r="L196" s="26"/>
      <c r="M196" s="8"/>
      <c r="N196" s="9" t="str">
        <f>IF($K196="","",$K196+Dashboard!$B$5)</f>
        <v/>
      </c>
      <c r="O196" s="9" t="str">
        <f>IF($K196="","",$K196+Dashboard!$B$6)</f>
        <v/>
      </c>
      <c r="P196" s="9" t="str">
        <f>IF($K196="","",$K196+Dashboard!$B$7)</f>
        <v/>
      </c>
      <c r="Q196" s="9" t="str">
        <f t="shared" ca="1" si="2"/>
        <v/>
      </c>
    </row>
    <row r="197" spans="1:17" ht="25.5">
      <c r="A197" s="5">
        <v>54</v>
      </c>
      <c r="B197" s="5" t="s">
        <v>23</v>
      </c>
      <c r="C197" s="5" t="s">
        <v>363</v>
      </c>
      <c r="D197" s="5">
        <v>240</v>
      </c>
      <c r="E197" s="5" t="s">
        <v>974</v>
      </c>
      <c r="F197" s="5" t="s">
        <v>45</v>
      </c>
      <c r="G197" s="27" t="s">
        <v>975</v>
      </c>
      <c r="H197" s="8" t="s">
        <v>591</v>
      </c>
      <c r="I197" s="8"/>
      <c r="J197" s="8"/>
      <c r="K197" s="25"/>
      <c r="L197" s="26"/>
      <c r="M197" s="8"/>
      <c r="N197" s="9" t="str">
        <f>IF($K197="","",$K197+Dashboard!$B$5)</f>
        <v/>
      </c>
      <c r="O197" s="9" t="str">
        <f>IF($K197="","",$K197+Dashboard!$B$6)</f>
        <v/>
      </c>
      <c r="P197" s="9" t="str">
        <f>IF($K197="","",$K197+Dashboard!$B$7)</f>
        <v/>
      </c>
      <c r="Q197" s="9" t="str">
        <f t="shared" ref="Q197:Q260" ca="1" si="3">IF($K197="","",IF(TODAY()&lt;=N197,N197,IF(TODAY()&lt;=O197,O197,IF(TODAY()&lt;=P197,P197,"Đã ôn đủ"))))</f>
        <v/>
      </c>
    </row>
    <row r="198" spans="1:17" ht="25.5">
      <c r="A198" s="5">
        <v>54</v>
      </c>
      <c r="B198" s="5" t="s">
        <v>23</v>
      </c>
      <c r="C198" s="5" t="s">
        <v>363</v>
      </c>
      <c r="D198" s="5">
        <v>427</v>
      </c>
      <c r="E198" s="5" t="s">
        <v>976</v>
      </c>
      <c r="F198" s="5" t="s">
        <v>45</v>
      </c>
      <c r="G198" s="27" t="s">
        <v>977</v>
      </c>
      <c r="H198" s="8" t="s">
        <v>591</v>
      </c>
      <c r="I198" s="8"/>
      <c r="J198" s="8"/>
      <c r="K198" s="25"/>
      <c r="L198" s="26"/>
      <c r="M198" s="8"/>
      <c r="N198" s="9" t="str">
        <f>IF($K198="","",$K198+Dashboard!$B$5)</f>
        <v/>
      </c>
      <c r="O198" s="9" t="str">
        <f>IF($K198="","",$K198+Dashboard!$B$6)</f>
        <v/>
      </c>
      <c r="P198" s="9" t="str">
        <f>IF($K198="","",$K198+Dashboard!$B$7)</f>
        <v/>
      </c>
      <c r="Q198" s="9" t="str">
        <f t="shared" ca="1" si="3"/>
        <v/>
      </c>
    </row>
    <row r="199" spans="1:17" ht="25.5">
      <c r="A199" s="5">
        <v>54</v>
      </c>
      <c r="B199" s="5" t="s">
        <v>23</v>
      </c>
      <c r="C199" s="5" t="s">
        <v>363</v>
      </c>
      <c r="D199" s="5">
        <v>932</v>
      </c>
      <c r="E199" s="5" t="s">
        <v>978</v>
      </c>
      <c r="F199" s="5" t="s">
        <v>45</v>
      </c>
      <c r="G199" s="27" t="s">
        <v>979</v>
      </c>
      <c r="H199" s="8" t="s">
        <v>591</v>
      </c>
      <c r="I199" s="8"/>
      <c r="J199" s="8"/>
      <c r="K199" s="25"/>
      <c r="L199" s="26"/>
      <c r="M199" s="8"/>
      <c r="N199" s="9" t="str">
        <f>IF($K199="","",$K199+Dashboard!$B$5)</f>
        <v/>
      </c>
      <c r="O199" s="9" t="str">
        <f>IF($K199="","",$K199+Dashboard!$B$6)</f>
        <v/>
      </c>
      <c r="P199" s="9" t="str">
        <f>IF($K199="","",$K199+Dashboard!$B$7)</f>
        <v/>
      </c>
      <c r="Q199" s="9" t="str">
        <f t="shared" ca="1" si="3"/>
        <v/>
      </c>
    </row>
    <row r="200" spans="1:17" ht="25.5">
      <c r="A200" s="5">
        <v>55</v>
      </c>
      <c r="B200" s="5" t="s">
        <v>23</v>
      </c>
      <c r="C200" s="5" t="s">
        <v>367</v>
      </c>
      <c r="D200" s="5">
        <v>312</v>
      </c>
      <c r="E200" s="5" t="s">
        <v>980</v>
      </c>
      <c r="F200" s="5" t="s">
        <v>47</v>
      </c>
      <c r="G200" s="27" t="s">
        <v>981</v>
      </c>
      <c r="H200" s="8" t="s">
        <v>591</v>
      </c>
      <c r="I200" s="8"/>
      <c r="J200" s="8"/>
      <c r="K200" s="25"/>
      <c r="L200" s="26"/>
      <c r="M200" s="8"/>
      <c r="N200" s="9" t="str">
        <f>IF($K200="","",$K200+Dashboard!$B$5)</f>
        <v/>
      </c>
      <c r="O200" s="9" t="str">
        <f>IF($K200="","",$K200+Dashboard!$B$6)</f>
        <v/>
      </c>
      <c r="P200" s="9" t="str">
        <f>IF($K200="","",$K200+Dashboard!$B$7)</f>
        <v/>
      </c>
      <c r="Q200" s="9" t="str">
        <f t="shared" ca="1" si="3"/>
        <v/>
      </c>
    </row>
    <row r="201" spans="1:17" ht="38.25">
      <c r="A201" s="5">
        <v>55</v>
      </c>
      <c r="B201" s="5" t="s">
        <v>23</v>
      </c>
      <c r="C201" s="5" t="s">
        <v>367</v>
      </c>
      <c r="D201" s="5">
        <v>889</v>
      </c>
      <c r="E201" s="5" t="s">
        <v>982</v>
      </c>
      <c r="F201" s="5" t="s">
        <v>45</v>
      </c>
      <c r="G201" s="27" t="s">
        <v>983</v>
      </c>
      <c r="H201" s="8" t="s">
        <v>591</v>
      </c>
      <c r="I201" s="8"/>
      <c r="J201" s="8"/>
      <c r="K201" s="25"/>
      <c r="L201" s="26"/>
      <c r="M201" s="8"/>
      <c r="N201" s="9" t="str">
        <f>IF($K201="","",$K201+Dashboard!$B$5)</f>
        <v/>
      </c>
      <c r="O201" s="9" t="str">
        <f>IF($K201="","",$K201+Dashboard!$B$6)</f>
        <v/>
      </c>
      <c r="P201" s="9" t="str">
        <f>IF($K201="","",$K201+Dashboard!$B$7)</f>
        <v/>
      </c>
      <c r="Q201" s="9" t="str">
        <f t="shared" ca="1" si="3"/>
        <v/>
      </c>
    </row>
    <row r="202" spans="1:17" ht="25.5">
      <c r="A202" s="5">
        <v>55</v>
      </c>
      <c r="B202" s="5" t="s">
        <v>23</v>
      </c>
      <c r="C202" s="5" t="s">
        <v>367</v>
      </c>
      <c r="D202" s="5">
        <v>654</v>
      </c>
      <c r="E202" s="5" t="s">
        <v>984</v>
      </c>
      <c r="F202" s="5" t="s">
        <v>45</v>
      </c>
      <c r="G202" s="27" t="s">
        <v>985</v>
      </c>
      <c r="H202" s="8" t="s">
        <v>591</v>
      </c>
      <c r="I202" s="8"/>
      <c r="J202" s="8"/>
      <c r="K202" s="25"/>
      <c r="L202" s="26"/>
      <c r="M202" s="8"/>
      <c r="N202" s="9" t="str">
        <f>IF($K202="","",$K202+Dashboard!$B$5)</f>
        <v/>
      </c>
      <c r="O202" s="9" t="str">
        <f>IF($K202="","",$K202+Dashboard!$B$6)</f>
        <v/>
      </c>
      <c r="P202" s="9" t="str">
        <f>IF($K202="","",$K202+Dashboard!$B$7)</f>
        <v/>
      </c>
      <c r="Q202" s="9" t="str">
        <f t="shared" ca="1" si="3"/>
        <v/>
      </c>
    </row>
    <row r="203" spans="1:17" ht="25.5">
      <c r="A203" s="5">
        <v>56</v>
      </c>
      <c r="B203" s="5" t="s">
        <v>23</v>
      </c>
      <c r="C203" s="5" t="s">
        <v>371</v>
      </c>
      <c r="D203" s="5">
        <v>658</v>
      </c>
      <c r="E203" s="5" t="s">
        <v>986</v>
      </c>
      <c r="F203" s="5" t="s">
        <v>45</v>
      </c>
      <c r="G203" s="27" t="s">
        <v>987</v>
      </c>
      <c r="H203" s="8" t="s">
        <v>591</v>
      </c>
      <c r="I203" s="8"/>
      <c r="J203" s="8"/>
      <c r="K203" s="25"/>
      <c r="L203" s="26"/>
      <c r="M203" s="8"/>
      <c r="N203" s="9" t="str">
        <f>IF($K203="","",$K203+Dashboard!$B$5)</f>
        <v/>
      </c>
      <c r="O203" s="9" t="str">
        <f>IF($K203="","",$K203+Dashboard!$B$6)</f>
        <v/>
      </c>
      <c r="P203" s="9" t="str">
        <f>IF($K203="","",$K203+Dashboard!$B$7)</f>
        <v/>
      </c>
      <c r="Q203" s="9" t="str">
        <f t="shared" ca="1" si="3"/>
        <v/>
      </c>
    </row>
    <row r="204" spans="1:17" ht="25.5">
      <c r="A204" s="5">
        <v>56</v>
      </c>
      <c r="B204" s="5" t="s">
        <v>23</v>
      </c>
      <c r="C204" s="5" t="s">
        <v>371</v>
      </c>
      <c r="D204" s="5">
        <v>162</v>
      </c>
      <c r="E204" s="5" t="s">
        <v>988</v>
      </c>
      <c r="F204" s="5" t="s">
        <v>45</v>
      </c>
      <c r="G204" s="27" t="s">
        <v>989</v>
      </c>
      <c r="H204" s="8" t="s">
        <v>591</v>
      </c>
      <c r="I204" s="8"/>
      <c r="J204" s="8"/>
      <c r="K204" s="25"/>
      <c r="L204" s="26"/>
      <c r="M204" s="8"/>
      <c r="N204" s="9" t="str">
        <f>IF($K204="","",$K204+Dashboard!$B$5)</f>
        <v/>
      </c>
      <c r="O204" s="9" t="str">
        <f>IF($K204="","",$K204+Dashboard!$B$6)</f>
        <v/>
      </c>
      <c r="P204" s="9" t="str">
        <f>IF($K204="","",$K204+Dashboard!$B$7)</f>
        <v/>
      </c>
      <c r="Q204" s="9" t="str">
        <f t="shared" ca="1" si="3"/>
        <v/>
      </c>
    </row>
    <row r="205" spans="1:17" ht="25.5">
      <c r="A205" s="5">
        <v>56</v>
      </c>
      <c r="B205" s="5" t="s">
        <v>23</v>
      </c>
      <c r="C205" s="5" t="s">
        <v>371</v>
      </c>
      <c r="D205" s="5">
        <v>287</v>
      </c>
      <c r="E205" s="5" t="s">
        <v>990</v>
      </c>
      <c r="F205" s="5" t="s">
        <v>45</v>
      </c>
      <c r="G205" s="27" t="s">
        <v>991</v>
      </c>
      <c r="H205" s="8" t="s">
        <v>591</v>
      </c>
      <c r="I205" s="8"/>
      <c r="J205" s="8"/>
      <c r="K205" s="25"/>
      <c r="L205" s="26"/>
      <c r="M205" s="8"/>
      <c r="N205" s="9" t="str">
        <f>IF($K205="","",$K205+Dashboard!$B$5)</f>
        <v/>
      </c>
      <c r="O205" s="9" t="str">
        <f>IF($K205="","",$K205+Dashboard!$B$6)</f>
        <v/>
      </c>
      <c r="P205" s="9" t="str">
        <f>IF($K205="","",$K205+Dashboard!$B$7)</f>
        <v/>
      </c>
      <c r="Q205" s="9" t="str">
        <f t="shared" ca="1" si="3"/>
        <v/>
      </c>
    </row>
    <row r="206" spans="1:17" ht="25.5">
      <c r="A206" s="5">
        <v>57</v>
      </c>
      <c r="B206" s="5" t="s">
        <v>25</v>
      </c>
      <c r="C206" s="5" t="s">
        <v>376</v>
      </c>
      <c r="D206" s="5">
        <v>746</v>
      </c>
      <c r="E206" s="5" t="s">
        <v>992</v>
      </c>
      <c r="F206" s="5" t="s">
        <v>43</v>
      </c>
      <c r="G206" s="27" t="s">
        <v>993</v>
      </c>
      <c r="H206" s="8" t="s">
        <v>591</v>
      </c>
      <c r="I206" s="8"/>
      <c r="J206" s="8"/>
      <c r="K206" s="25"/>
      <c r="L206" s="26"/>
      <c r="M206" s="8"/>
      <c r="N206" s="9" t="str">
        <f>IF($K206="","",$K206+Dashboard!$B$5)</f>
        <v/>
      </c>
      <c r="O206" s="9" t="str">
        <f>IF($K206="","",$K206+Dashboard!$B$6)</f>
        <v/>
      </c>
      <c r="P206" s="9" t="str">
        <f>IF($K206="","",$K206+Dashboard!$B$7)</f>
        <v/>
      </c>
      <c r="Q206" s="9" t="str">
        <f t="shared" ca="1" si="3"/>
        <v/>
      </c>
    </row>
    <row r="207" spans="1:17" ht="25.5">
      <c r="A207" s="5">
        <v>57</v>
      </c>
      <c r="B207" s="5" t="s">
        <v>25</v>
      </c>
      <c r="C207" s="5" t="s">
        <v>376</v>
      </c>
      <c r="D207" s="5">
        <v>198</v>
      </c>
      <c r="E207" s="5" t="s">
        <v>994</v>
      </c>
      <c r="F207" s="5" t="s">
        <v>45</v>
      </c>
      <c r="G207" s="27" t="s">
        <v>995</v>
      </c>
      <c r="H207" s="8" t="s">
        <v>591</v>
      </c>
      <c r="I207" s="8"/>
      <c r="J207" s="8"/>
      <c r="K207" s="25"/>
      <c r="L207" s="26"/>
      <c r="M207" s="8"/>
      <c r="N207" s="9" t="str">
        <f>IF($K207="","",$K207+Dashboard!$B$5)</f>
        <v/>
      </c>
      <c r="O207" s="9" t="str">
        <f>IF($K207="","",$K207+Dashboard!$B$6)</f>
        <v/>
      </c>
      <c r="P207" s="9" t="str">
        <f>IF($K207="","",$K207+Dashboard!$B$7)</f>
        <v/>
      </c>
      <c r="Q207" s="9" t="str">
        <f t="shared" ca="1" si="3"/>
        <v/>
      </c>
    </row>
    <row r="208" spans="1:17" ht="25.5">
      <c r="A208" s="5">
        <v>57</v>
      </c>
      <c r="B208" s="5" t="s">
        <v>25</v>
      </c>
      <c r="C208" s="5" t="s">
        <v>376</v>
      </c>
      <c r="D208" s="5">
        <v>213</v>
      </c>
      <c r="E208" s="5" t="s">
        <v>996</v>
      </c>
      <c r="F208" s="5" t="s">
        <v>45</v>
      </c>
      <c r="G208" s="27" t="s">
        <v>997</v>
      </c>
      <c r="H208" s="8" t="s">
        <v>591</v>
      </c>
      <c r="I208" s="8"/>
      <c r="J208" s="8"/>
      <c r="K208" s="25"/>
      <c r="L208" s="26"/>
      <c r="M208" s="8"/>
      <c r="N208" s="9" t="str">
        <f>IF($K208="","",$K208+Dashboard!$B$5)</f>
        <v/>
      </c>
      <c r="O208" s="9" t="str">
        <f>IF($K208="","",$K208+Dashboard!$B$6)</f>
        <v/>
      </c>
      <c r="P208" s="9" t="str">
        <f>IF($K208="","",$K208+Dashboard!$B$7)</f>
        <v/>
      </c>
      <c r="Q208" s="9" t="str">
        <f t="shared" ca="1" si="3"/>
        <v/>
      </c>
    </row>
    <row r="209" spans="1:17" ht="25.5">
      <c r="A209" s="5">
        <v>57</v>
      </c>
      <c r="B209" s="5" t="s">
        <v>25</v>
      </c>
      <c r="C209" s="5" t="s">
        <v>376</v>
      </c>
      <c r="D209" s="5">
        <v>740</v>
      </c>
      <c r="E209" s="5" t="s">
        <v>998</v>
      </c>
      <c r="F209" s="5" t="s">
        <v>45</v>
      </c>
      <c r="G209" s="27" t="s">
        <v>999</v>
      </c>
      <c r="H209" s="8" t="s">
        <v>591</v>
      </c>
      <c r="I209" s="8"/>
      <c r="J209" s="8"/>
      <c r="K209" s="25"/>
      <c r="L209" s="26"/>
      <c r="M209" s="8"/>
      <c r="N209" s="9" t="str">
        <f>IF($K209="","",$K209+Dashboard!$B$5)</f>
        <v/>
      </c>
      <c r="O209" s="9" t="str">
        <f>IF($K209="","",$K209+Dashboard!$B$6)</f>
        <v/>
      </c>
      <c r="P209" s="9" t="str">
        <f>IF($K209="","",$K209+Dashboard!$B$7)</f>
        <v/>
      </c>
      <c r="Q209" s="9" t="str">
        <f t="shared" ca="1" si="3"/>
        <v/>
      </c>
    </row>
    <row r="210" spans="1:17" ht="25.5">
      <c r="A210" s="5">
        <v>58</v>
      </c>
      <c r="B210" s="5" t="s">
        <v>25</v>
      </c>
      <c r="C210" s="5" t="s">
        <v>382</v>
      </c>
      <c r="D210" s="5">
        <v>91</v>
      </c>
      <c r="E210" s="5" t="s">
        <v>1000</v>
      </c>
      <c r="F210" s="5" t="s">
        <v>45</v>
      </c>
      <c r="G210" s="27" t="s">
        <v>1001</v>
      </c>
      <c r="H210" s="8" t="s">
        <v>591</v>
      </c>
      <c r="I210" s="8"/>
      <c r="J210" s="8"/>
      <c r="K210" s="25"/>
      <c r="L210" s="26"/>
      <c r="M210" s="8"/>
      <c r="N210" s="9" t="str">
        <f>IF($K210="","",$K210+Dashboard!$B$5)</f>
        <v/>
      </c>
      <c r="O210" s="9" t="str">
        <f>IF($K210="","",$K210+Dashboard!$B$6)</f>
        <v/>
      </c>
      <c r="P210" s="9" t="str">
        <f>IF($K210="","",$K210+Dashboard!$B$7)</f>
        <v/>
      </c>
      <c r="Q210" s="9" t="str">
        <f t="shared" ca="1" si="3"/>
        <v/>
      </c>
    </row>
    <row r="211" spans="1:17">
      <c r="A211" s="5">
        <v>58</v>
      </c>
      <c r="B211" s="5" t="s">
        <v>25</v>
      </c>
      <c r="C211" s="5" t="s">
        <v>382</v>
      </c>
      <c r="D211" s="5">
        <v>139</v>
      </c>
      <c r="E211" s="5" t="s">
        <v>1002</v>
      </c>
      <c r="F211" s="5" t="s">
        <v>45</v>
      </c>
      <c r="G211" s="27" t="s">
        <v>1003</v>
      </c>
      <c r="H211" s="8" t="s">
        <v>591</v>
      </c>
      <c r="I211" s="8"/>
      <c r="J211" s="8"/>
      <c r="K211" s="25"/>
      <c r="L211" s="26"/>
      <c r="M211" s="8"/>
      <c r="N211" s="9" t="str">
        <f>IF($K211="","",$K211+Dashboard!$B$5)</f>
        <v/>
      </c>
      <c r="O211" s="9" t="str">
        <f>IF($K211="","",$K211+Dashboard!$B$6)</f>
        <v/>
      </c>
      <c r="P211" s="9" t="str">
        <f>IF($K211="","",$K211+Dashboard!$B$7)</f>
        <v/>
      </c>
      <c r="Q211" s="9" t="str">
        <f t="shared" ca="1" si="3"/>
        <v/>
      </c>
    </row>
    <row r="212" spans="1:17" ht="25.5">
      <c r="A212" s="5">
        <v>58</v>
      </c>
      <c r="B212" s="5" t="s">
        <v>25</v>
      </c>
      <c r="C212" s="5" t="s">
        <v>382</v>
      </c>
      <c r="D212" s="5">
        <v>322</v>
      </c>
      <c r="E212" s="5" t="s">
        <v>1004</v>
      </c>
      <c r="F212" s="5" t="s">
        <v>45</v>
      </c>
      <c r="G212" s="27" t="s">
        <v>1005</v>
      </c>
      <c r="H212" s="8" t="s">
        <v>591</v>
      </c>
      <c r="I212" s="8"/>
      <c r="J212" s="8"/>
      <c r="K212" s="25"/>
      <c r="L212" s="26"/>
      <c r="M212" s="8"/>
      <c r="N212" s="9" t="str">
        <f>IF($K212="","",$K212+Dashboard!$B$5)</f>
        <v/>
      </c>
      <c r="O212" s="9" t="str">
        <f>IF($K212="","",$K212+Dashboard!$B$6)</f>
        <v/>
      </c>
      <c r="P212" s="9" t="str">
        <f>IF($K212="","",$K212+Dashboard!$B$7)</f>
        <v/>
      </c>
      <c r="Q212" s="9" t="str">
        <f t="shared" ca="1" si="3"/>
        <v/>
      </c>
    </row>
    <row r="213" spans="1:17" ht="25.5">
      <c r="A213" s="5">
        <v>58</v>
      </c>
      <c r="B213" s="5" t="s">
        <v>25</v>
      </c>
      <c r="C213" s="5" t="s">
        <v>382</v>
      </c>
      <c r="D213" s="5">
        <v>518</v>
      </c>
      <c r="E213" s="5" t="s">
        <v>1006</v>
      </c>
      <c r="F213" s="5" t="s">
        <v>45</v>
      </c>
      <c r="G213" s="27" t="s">
        <v>1007</v>
      </c>
      <c r="H213" s="8" t="s">
        <v>591</v>
      </c>
      <c r="I213" s="8"/>
      <c r="J213" s="8"/>
      <c r="K213" s="25"/>
      <c r="L213" s="26"/>
      <c r="M213" s="8"/>
      <c r="N213" s="9" t="str">
        <f>IF($K213="","",$K213+Dashboard!$B$5)</f>
        <v/>
      </c>
      <c r="O213" s="9" t="str">
        <f>IF($K213="","",$K213+Dashboard!$B$6)</f>
        <v/>
      </c>
      <c r="P213" s="9" t="str">
        <f>IF($K213="","",$K213+Dashboard!$B$7)</f>
        <v/>
      </c>
      <c r="Q213" s="9" t="str">
        <f t="shared" ca="1" si="3"/>
        <v/>
      </c>
    </row>
    <row r="214" spans="1:17" ht="25.5">
      <c r="A214" s="5">
        <v>59</v>
      </c>
      <c r="B214" s="5" t="s">
        <v>25</v>
      </c>
      <c r="C214" s="5" t="s">
        <v>387</v>
      </c>
      <c r="D214" s="5">
        <v>300</v>
      </c>
      <c r="E214" s="5" t="s">
        <v>1008</v>
      </c>
      <c r="F214" s="5" t="s">
        <v>45</v>
      </c>
      <c r="G214" s="27" t="s">
        <v>1009</v>
      </c>
      <c r="H214" s="8" t="s">
        <v>591</v>
      </c>
      <c r="I214" s="8"/>
      <c r="J214" s="8"/>
      <c r="K214" s="25"/>
      <c r="L214" s="26"/>
      <c r="M214" s="8"/>
      <c r="N214" s="9" t="str">
        <f>IF($K214="","",$K214+Dashboard!$B$5)</f>
        <v/>
      </c>
      <c r="O214" s="9" t="str">
        <f>IF($K214="","",$K214+Dashboard!$B$6)</f>
        <v/>
      </c>
      <c r="P214" s="9" t="str">
        <f>IF($K214="","",$K214+Dashboard!$B$7)</f>
        <v/>
      </c>
      <c r="Q214" s="9" t="str">
        <f t="shared" ca="1" si="3"/>
        <v/>
      </c>
    </row>
    <row r="215" spans="1:17" ht="25.5">
      <c r="A215" s="5">
        <v>59</v>
      </c>
      <c r="B215" s="5" t="s">
        <v>25</v>
      </c>
      <c r="C215" s="5" t="s">
        <v>387</v>
      </c>
      <c r="D215" s="5">
        <v>673</v>
      </c>
      <c r="E215" s="5" t="s">
        <v>1010</v>
      </c>
      <c r="F215" s="5" t="s">
        <v>45</v>
      </c>
      <c r="G215" s="27" t="s">
        <v>1011</v>
      </c>
      <c r="H215" s="8" t="s">
        <v>591</v>
      </c>
      <c r="I215" s="8"/>
      <c r="J215" s="8"/>
      <c r="K215" s="25"/>
      <c r="L215" s="26"/>
      <c r="M215" s="8"/>
      <c r="N215" s="9" t="str">
        <f>IF($K215="","",$K215+Dashboard!$B$5)</f>
        <v/>
      </c>
      <c r="O215" s="9" t="str">
        <f>IF($K215="","",$K215+Dashboard!$B$6)</f>
        <v/>
      </c>
      <c r="P215" s="9" t="str">
        <f>IF($K215="","",$K215+Dashboard!$B$7)</f>
        <v/>
      </c>
      <c r="Q215" s="9" t="str">
        <f t="shared" ca="1" si="3"/>
        <v/>
      </c>
    </row>
    <row r="216" spans="1:17" ht="25.5">
      <c r="A216" s="5">
        <v>59</v>
      </c>
      <c r="B216" s="5" t="s">
        <v>25</v>
      </c>
      <c r="C216" s="5" t="s">
        <v>387</v>
      </c>
      <c r="D216" s="5">
        <v>354</v>
      </c>
      <c r="E216" s="5" t="s">
        <v>1012</v>
      </c>
      <c r="F216" s="5" t="s">
        <v>47</v>
      </c>
      <c r="G216" s="27" t="s">
        <v>1013</v>
      </c>
      <c r="H216" s="8" t="s">
        <v>591</v>
      </c>
      <c r="I216" s="8"/>
      <c r="J216" s="8"/>
      <c r="K216" s="25"/>
      <c r="L216" s="26"/>
      <c r="M216" s="8"/>
      <c r="N216" s="9" t="str">
        <f>IF($K216="","",$K216+Dashboard!$B$5)</f>
        <v/>
      </c>
      <c r="O216" s="9" t="str">
        <f>IF($K216="","",$K216+Dashboard!$B$6)</f>
        <v/>
      </c>
      <c r="P216" s="9" t="str">
        <f>IF($K216="","",$K216+Dashboard!$B$7)</f>
        <v/>
      </c>
      <c r="Q216" s="9" t="str">
        <f t="shared" ca="1" si="3"/>
        <v/>
      </c>
    </row>
    <row r="217" spans="1:17" ht="25.5">
      <c r="A217" s="5">
        <v>59</v>
      </c>
      <c r="B217" s="5" t="s">
        <v>25</v>
      </c>
      <c r="C217" s="5" t="s">
        <v>387</v>
      </c>
      <c r="D217" s="5">
        <v>152</v>
      </c>
      <c r="E217" s="5" t="s">
        <v>1014</v>
      </c>
      <c r="F217" s="5" t="s">
        <v>45</v>
      </c>
      <c r="G217" s="27" t="s">
        <v>1015</v>
      </c>
      <c r="H217" s="8" t="s">
        <v>591</v>
      </c>
      <c r="I217" s="8"/>
      <c r="J217" s="8"/>
      <c r="K217" s="25"/>
      <c r="L217" s="26"/>
      <c r="M217" s="8"/>
      <c r="N217" s="9" t="str">
        <f>IF($K217="","",$K217+Dashboard!$B$5)</f>
        <v/>
      </c>
      <c r="O217" s="9" t="str">
        <f>IF($K217="","",$K217+Dashboard!$B$6)</f>
        <v/>
      </c>
      <c r="P217" s="9" t="str">
        <f>IF($K217="","",$K217+Dashboard!$B$7)</f>
        <v/>
      </c>
      <c r="Q217" s="9" t="str">
        <f t="shared" ca="1" si="3"/>
        <v/>
      </c>
    </row>
    <row r="218" spans="1:17" ht="25.5">
      <c r="A218" s="5">
        <v>60</v>
      </c>
      <c r="B218" s="5" t="s">
        <v>25</v>
      </c>
      <c r="C218" s="5" t="s">
        <v>392</v>
      </c>
      <c r="D218" s="5">
        <v>62</v>
      </c>
      <c r="E218" s="5" t="s">
        <v>1016</v>
      </c>
      <c r="F218" s="5" t="s">
        <v>45</v>
      </c>
      <c r="G218" s="27" t="s">
        <v>1017</v>
      </c>
      <c r="H218" s="8" t="s">
        <v>591</v>
      </c>
      <c r="I218" s="8"/>
      <c r="J218" s="8"/>
      <c r="K218" s="25"/>
      <c r="L218" s="26"/>
      <c r="M218" s="8"/>
      <c r="N218" s="9" t="str">
        <f>IF($K218="","",$K218+Dashboard!$B$5)</f>
        <v/>
      </c>
      <c r="O218" s="9" t="str">
        <f>IF($K218="","",$K218+Dashboard!$B$6)</f>
        <v/>
      </c>
      <c r="P218" s="9" t="str">
        <f>IF($K218="","",$K218+Dashboard!$B$7)</f>
        <v/>
      </c>
      <c r="Q218" s="9" t="str">
        <f t="shared" ca="1" si="3"/>
        <v/>
      </c>
    </row>
    <row r="219" spans="1:17" ht="25.5">
      <c r="A219" s="5">
        <v>60</v>
      </c>
      <c r="B219" s="5" t="s">
        <v>25</v>
      </c>
      <c r="C219" s="5" t="s">
        <v>392</v>
      </c>
      <c r="D219" s="5">
        <v>63</v>
      </c>
      <c r="E219" s="5" t="s">
        <v>1018</v>
      </c>
      <c r="F219" s="5" t="s">
        <v>45</v>
      </c>
      <c r="G219" s="27" t="s">
        <v>1019</v>
      </c>
      <c r="H219" s="8" t="s">
        <v>591</v>
      </c>
      <c r="I219" s="8"/>
      <c r="J219" s="8"/>
      <c r="K219" s="25"/>
      <c r="L219" s="26"/>
      <c r="M219" s="8"/>
      <c r="N219" s="9" t="str">
        <f>IF($K219="","",$K219+Dashboard!$B$5)</f>
        <v/>
      </c>
      <c r="O219" s="9" t="str">
        <f>IF($K219="","",$K219+Dashboard!$B$6)</f>
        <v/>
      </c>
      <c r="P219" s="9" t="str">
        <f>IF($K219="","",$K219+Dashboard!$B$7)</f>
        <v/>
      </c>
      <c r="Q219" s="9" t="str">
        <f t="shared" ca="1" si="3"/>
        <v/>
      </c>
    </row>
    <row r="220" spans="1:17" ht="25.5">
      <c r="A220" s="5">
        <v>60</v>
      </c>
      <c r="B220" s="5" t="s">
        <v>25</v>
      </c>
      <c r="C220" s="5" t="s">
        <v>392</v>
      </c>
      <c r="D220" s="5">
        <v>64</v>
      </c>
      <c r="E220" s="5" t="s">
        <v>1020</v>
      </c>
      <c r="F220" s="5" t="s">
        <v>45</v>
      </c>
      <c r="G220" s="27" t="s">
        <v>1021</v>
      </c>
      <c r="H220" s="8" t="s">
        <v>591</v>
      </c>
      <c r="I220" s="8"/>
      <c r="J220" s="8"/>
      <c r="K220" s="25"/>
      <c r="L220" s="26"/>
      <c r="M220" s="8"/>
      <c r="N220" s="9" t="str">
        <f>IF($K220="","",$K220+Dashboard!$B$5)</f>
        <v/>
      </c>
      <c r="O220" s="9" t="str">
        <f>IF($K220="","",$K220+Dashboard!$B$6)</f>
        <v/>
      </c>
      <c r="P220" s="9" t="str">
        <f>IF($K220="","",$K220+Dashboard!$B$7)</f>
        <v/>
      </c>
      <c r="Q220" s="9" t="str">
        <f t="shared" ca="1" si="3"/>
        <v/>
      </c>
    </row>
    <row r="221" spans="1:17">
      <c r="A221" s="5">
        <v>60</v>
      </c>
      <c r="B221" s="5" t="s">
        <v>25</v>
      </c>
      <c r="C221" s="5" t="s">
        <v>392</v>
      </c>
      <c r="D221" s="5">
        <v>120</v>
      </c>
      <c r="E221" s="5" t="s">
        <v>1022</v>
      </c>
      <c r="F221" s="5" t="s">
        <v>45</v>
      </c>
      <c r="G221" s="27" t="s">
        <v>1023</v>
      </c>
      <c r="H221" s="8" t="s">
        <v>591</v>
      </c>
      <c r="I221" s="8"/>
      <c r="J221" s="8"/>
      <c r="K221" s="25"/>
      <c r="L221" s="26"/>
      <c r="M221" s="8"/>
      <c r="N221" s="9" t="str">
        <f>IF($K221="","",$K221+Dashboard!$B$5)</f>
        <v/>
      </c>
      <c r="O221" s="9" t="str">
        <f>IF($K221="","",$K221+Dashboard!$B$6)</f>
        <v/>
      </c>
      <c r="P221" s="9" t="str">
        <f>IF($K221="","",$K221+Dashboard!$B$7)</f>
        <v/>
      </c>
      <c r="Q221" s="9" t="str">
        <f t="shared" ca="1" si="3"/>
        <v/>
      </c>
    </row>
    <row r="222" spans="1:17" ht="25.5">
      <c r="A222" s="5">
        <v>61</v>
      </c>
      <c r="B222" s="5" t="s">
        <v>25</v>
      </c>
      <c r="C222" s="5" t="s">
        <v>395</v>
      </c>
      <c r="D222" s="5">
        <v>931</v>
      </c>
      <c r="E222" s="5" t="s">
        <v>1024</v>
      </c>
      <c r="F222" s="5" t="s">
        <v>45</v>
      </c>
      <c r="G222" s="27" t="s">
        <v>1025</v>
      </c>
      <c r="H222" s="8" t="s">
        <v>591</v>
      </c>
      <c r="I222" s="8"/>
      <c r="J222" s="8"/>
      <c r="K222" s="25"/>
      <c r="L222" s="26"/>
      <c r="M222" s="8"/>
      <c r="N222" s="9" t="str">
        <f>IF($K222="","",$K222+Dashboard!$B$5)</f>
        <v/>
      </c>
      <c r="O222" s="9" t="str">
        <f>IF($K222="","",$K222+Dashboard!$B$6)</f>
        <v/>
      </c>
      <c r="P222" s="9" t="str">
        <f>IF($K222="","",$K222+Dashboard!$B$7)</f>
        <v/>
      </c>
      <c r="Q222" s="9" t="str">
        <f t="shared" ca="1" si="3"/>
        <v/>
      </c>
    </row>
    <row r="223" spans="1:17" ht="25.5">
      <c r="A223" s="5">
        <v>61</v>
      </c>
      <c r="B223" s="5" t="s">
        <v>25</v>
      </c>
      <c r="C223" s="5" t="s">
        <v>395</v>
      </c>
      <c r="D223" s="5">
        <v>221</v>
      </c>
      <c r="E223" s="5" t="s">
        <v>1026</v>
      </c>
      <c r="F223" s="5" t="s">
        <v>45</v>
      </c>
      <c r="G223" s="27" t="s">
        <v>1027</v>
      </c>
      <c r="H223" s="8" t="s">
        <v>591</v>
      </c>
      <c r="I223" s="8"/>
      <c r="J223" s="8"/>
      <c r="K223" s="25"/>
      <c r="L223" s="26"/>
      <c r="M223" s="8"/>
      <c r="N223" s="9" t="str">
        <f>IF($K223="","",$K223+Dashboard!$B$5)</f>
        <v/>
      </c>
      <c r="O223" s="9" t="str">
        <f>IF($K223="","",$K223+Dashboard!$B$6)</f>
        <v/>
      </c>
      <c r="P223" s="9" t="str">
        <f>IF($K223="","",$K223+Dashboard!$B$7)</f>
        <v/>
      </c>
      <c r="Q223" s="9" t="str">
        <f t="shared" ca="1" si="3"/>
        <v/>
      </c>
    </row>
    <row r="224" spans="1:17" ht="25.5">
      <c r="A224" s="5">
        <v>61</v>
      </c>
      <c r="B224" s="5" t="s">
        <v>25</v>
      </c>
      <c r="C224" s="5" t="s">
        <v>395</v>
      </c>
      <c r="D224" s="5">
        <v>85</v>
      </c>
      <c r="E224" s="5" t="s">
        <v>1028</v>
      </c>
      <c r="F224" s="5" t="s">
        <v>47</v>
      </c>
      <c r="G224" s="27" t="s">
        <v>1029</v>
      </c>
      <c r="H224" s="8" t="s">
        <v>591</v>
      </c>
      <c r="I224" s="8"/>
      <c r="J224" s="8"/>
      <c r="K224" s="25"/>
      <c r="L224" s="26"/>
      <c r="M224" s="8"/>
      <c r="N224" s="9" t="str">
        <f>IF($K224="","",$K224+Dashboard!$B$5)</f>
        <v/>
      </c>
      <c r="O224" s="9" t="str">
        <f>IF($K224="","",$K224+Dashboard!$B$6)</f>
        <v/>
      </c>
      <c r="P224" s="9" t="str">
        <f>IF($K224="","",$K224+Dashboard!$B$7)</f>
        <v/>
      </c>
      <c r="Q224" s="9" t="str">
        <f t="shared" ca="1" si="3"/>
        <v/>
      </c>
    </row>
    <row r="225" spans="1:17" ht="25.5">
      <c r="A225" s="5">
        <v>61</v>
      </c>
      <c r="B225" s="5" t="s">
        <v>25</v>
      </c>
      <c r="C225" s="5" t="s">
        <v>395</v>
      </c>
      <c r="D225" s="5">
        <v>174</v>
      </c>
      <c r="E225" s="5" t="s">
        <v>1030</v>
      </c>
      <c r="F225" s="5" t="s">
        <v>47</v>
      </c>
      <c r="G225" s="27" t="s">
        <v>1031</v>
      </c>
      <c r="H225" s="8" t="s">
        <v>591</v>
      </c>
      <c r="I225" s="8"/>
      <c r="J225" s="8"/>
      <c r="K225" s="25"/>
      <c r="L225" s="26"/>
      <c r="M225" s="8"/>
      <c r="N225" s="9" t="str">
        <f>IF($K225="","",$K225+Dashboard!$B$5)</f>
        <v/>
      </c>
      <c r="O225" s="9" t="str">
        <f>IF($K225="","",$K225+Dashboard!$B$6)</f>
        <v/>
      </c>
      <c r="P225" s="9" t="str">
        <f>IF($K225="","",$K225+Dashboard!$B$7)</f>
        <v/>
      </c>
      <c r="Q225" s="9" t="str">
        <f t="shared" ca="1" si="3"/>
        <v/>
      </c>
    </row>
    <row r="226" spans="1:17" ht="25.5">
      <c r="A226" s="5">
        <v>62</v>
      </c>
      <c r="B226" s="5" t="s">
        <v>25</v>
      </c>
      <c r="C226" s="5" t="s">
        <v>399</v>
      </c>
      <c r="D226" s="5">
        <v>741</v>
      </c>
      <c r="E226" s="5" t="s">
        <v>1032</v>
      </c>
      <c r="F226" s="5" t="s">
        <v>47</v>
      </c>
      <c r="G226" s="27" t="s">
        <v>1033</v>
      </c>
      <c r="H226" s="8" t="s">
        <v>591</v>
      </c>
      <c r="I226" s="8"/>
      <c r="J226" s="8"/>
      <c r="K226" s="25"/>
      <c r="L226" s="26"/>
      <c r="M226" s="8"/>
      <c r="N226" s="9" t="str">
        <f>IF($K226="","",$K226+Dashboard!$B$5)</f>
        <v/>
      </c>
      <c r="O226" s="9" t="str">
        <f>IF($K226="","",$K226+Dashboard!$B$6)</f>
        <v/>
      </c>
      <c r="P226" s="9" t="str">
        <f>IF($K226="","",$K226+Dashboard!$B$7)</f>
        <v/>
      </c>
      <c r="Q226" s="9" t="str">
        <f t="shared" ca="1" si="3"/>
        <v/>
      </c>
    </row>
    <row r="227" spans="1:17" ht="25.5">
      <c r="A227" s="5">
        <v>62</v>
      </c>
      <c r="B227" s="5" t="s">
        <v>25</v>
      </c>
      <c r="C227" s="5" t="s">
        <v>399</v>
      </c>
      <c r="D227" s="5">
        <v>279</v>
      </c>
      <c r="E227" s="5" t="s">
        <v>1034</v>
      </c>
      <c r="F227" s="5" t="s">
        <v>45</v>
      </c>
      <c r="G227" s="27" t="s">
        <v>1035</v>
      </c>
      <c r="H227" s="8" t="s">
        <v>591</v>
      </c>
      <c r="I227" s="8"/>
      <c r="J227" s="8"/>
      <c r="K227" s="25"/>
      <c r="L227" s="26"/>
      <c r="M227" s="8"/>
      <c r="N227" s="9" t="str">
        <f>IF($K227="","",$K227+Dashboard!$B$5)</f>
        <v/>
      </c>
      <c r="O227" s="9" t="str">
        <f>IF($K227="","",$K227+Dashboard!$B$6)</f>
        <v/>
      </c>
      <c r="P227" s="9" t="str">
        <f>IF($K227="","",$K227+Dashboard!$B$7)</f>
        <v/>
      </c>
      <c r="Q227" s="9" t="str">
        <f t="shared" ca="1" si="3"/>
        <v/>
      </c>
    </row>
    <row r="228" spans="1:17" ht="25.5">
      <c r="A228" s="5">
        <v>62</v>
      </c>
      <c r="B228" s="5" t="s">
        <v>25</v>
      </c>
      <c r="C228" s="5" t="s">
        <v>399</v>
      </c>
      <c r="D228" s="5">
        <v>377</v>
      </c>
      <c r="E228" s="5" t="s">
        <v>1036</v>
      </c>
      <c r="F228" s="5" t="s">
        <v>45</v>
      </c>
      <c r="G228" s="27" t="s">
        <v>1037</v>
      </c>
      <c r="H228" s="8" t="s">
        <v>591</v>
      </c>
      <c r="I228" s="8"/>
      <c r="J228" s="8"/>
      <c r="K228" s="25"/>
      <c r="L228" s="26"/>
      <c r="M228" s="8"/>
      <c r="N228" s="9" t="str">
        <f>IF($K228="","",$K228+Dashboard!$B$5)</f>
        <v/>
      </c>
      <c r="O228" s="9" t="str">
        <f>IF($K228="","",$K228+Dashboard!$B$6)</f>
        <v/>
      </c>
      <c r="P228" s="9" t="str">
        <f>IF($K228="","",$K228+Dashboard!$B$7)</f>
        <v/>
      </c>
      <c r="Q228" s="9" t="str">
        <f t="shared" ca="1" si="3"/>
        <v/>
      </c>
    </row>
    <row r="229" spans="1:17" ht="25.5">
      <c r="A229" s="5">
        <v>63</v>
      </c>
      <c r="B229" s="5" t="s">
        <v>25</v>
      </c>
      <c r="C229" s="5" t="s">
        <v>403</v>
      </c>
      <c r="D229" s="5">
        <v>416</v>
      </c>
      <c r="E229" s="5" t="s">
        <v>1038</v>
      </c>
      <c r="F229" s="5" t="s">
        <v>45</v>
      </c>
      <c r="G229" s="27" t="s">
        <v>1039</v>
      </c>
      <c r="H229" s="8" t="s">
        <v>591</v>
      </c>
      <c r="I229" s="8"/>
      <c r="J229" s="8"/>
      <c r="K229" s="25"/>
      <c r="L229" s="26"/>
      <c r="M229" s="8"/>
      <c r="N229" s="9" t="str">
        <f>IF($K229="","",$K229+Dashboard!$B$5)</f>
        <v/>
      </c>
      <c r="O229" s="9" t="str">
        <f>IF($K229="","",$K229+Dashboard!$B$6)</f>
        <v/>
      </c>
      <c r="P229" s="9" t="str">
        <f>IF($K229="","",$K229+Dashboard!$B$7)</f>
        <v/>
      </c>
      <c r="Q229" s="9" t="str">
        <f t="shared" ca="1" si="3"/>
        <v/>
      </c>
    </row>
    <row r="230" spans="1:17">
      <c r="A230" s="5">
        <v>63</v>
      </c>
      <c r="B230" s="5" t="s">
        <v>25</v>
      </c>
      <c r="C230" s="5" t="s">
        <v>403</v>
      </c>
      <c r="D230" s="5">
        <v>494</v>
      </c>
      <c r="E230" s="5" t="s">
        <v>1040</v>
      </c>
      <c r="F230" s="5" t="s">
        <v>45</v>
      </c>
      <c r="G230" s="27" t="s">
        <v>1041</v>
      </c>
      <c r="H230" s="8" t="s">
        <v>591</v>
      </c>
      <c r="I230" s="8"/>
      <c r="J230" s="8"/>
      <c r="K230" s="25"/>
      <c r="L230" s="26"/>
      <c r="M230" s="8"/>
      <c r="N230" s="9" t="str">
        <f>IF($K230="","",$K230+Dashboard!$B$5)</f>
        <v/>
      </c>
      <c r="O230" s="9" t="str">
        <f>IF($K230="","",$K230+Dashboard!$B$6)</f>
        <v/>
      </c>
      <c r="P230" s="9" t="str">
        <f>IF($K230="","",$K230+Dashboard!$B$7)</f>
        <v/>
      </c>
      <c r="Q230" s="9" t="str">
        <f t="shared" ca="1" si="3"/>
        <v/>
      </c>
    </row>
    <row r="231" spans="1:17" ht="25.5">
      <c r="A231" s="5">
        <v>63</v>
      </c>
      <c r="B231" s="5" t="s">
        <v>25</v>
      </c>
      <c r="C231" s="5" t="s">
        <v>403</v>
      </c>
      <c r="D231" s="5">
        <v>474</v>
      </c>
      <c r="E231" s="5" t="s">
        <v>1042</v>
      </c>
      <c r="F231" s="5" t="s">
        <v>45</v>
      </c>
      <c r="G231" s="27" t="s">
        <v>1043</v>
      </c>
      <c r="H231" s="8" t="s">
        <v>591</v>
      </c>
      <c r="I231" s="8"/>
      <c r="J231" s="8"/>
      <c r="K231" s="25"/>
      <c r="L231" s="26"/>
      <c r="M231" s="8"/>
      <c r="N231" s="9" t="str">
        <f>IF($K231="","",$K231+Dashboard!$B$5)</f>
        <v/>
      </c>
      <c r="O231" s="9" t="str">
        <f>IF($K231="","",$K231+Dashboard!$B$6)</f>
        <v/>
      </c>
      <c r="P231" s="9" t="str">
        <f>IF($K231="","",$K231+Dashboard!$B$7)</f>
        <v/>
      </c>
      <c r="Q231" s="9" t="str">
        <f t="shared" ca="1" si="3"/>
        <v/>
      </c>
    </row>
    <row r="232" spans="1:17" ht="25.5">
      <c r="A232" s="5">
        <v>63</v>
      </c>
      <c r="B232" s="5" t="s">
        <v>25</v>
      </c>
      <c r="C232" s="5" t="s">
        <v>403</v>
      </c>
      <c r="D232" s="5">
        <v>1049</v>
      </c>
      <c r="E232" s="5" t="s">
        <v>1044</v>
      </c>
      <c r="F232" s="5" t="s">
        <v>45</v>
      </c>
      <c r="G232" s="27" t="s">
        <v>1045</v>
      </c>
      <c r="H232" s="8" t="s">
        <v>591</v>
      </c>
      <c r="I232" s="8"/>
      <c r="J232" s="8"/>
      <c r="K232" s="25"/>
      <c r="L232" s="26"/>
      <c r="M232" s="8"/>
      <c r="N232" s="9" t="str">
        <f>IF($K232="","",$K232+Dashboard!$B$5)</f>
        <v/>
      </c>
      <c r="O232" s="9" t="str">
        <f>IF($K232="","",$K232+Dashboard!$B$6)</f>
        <v/>
      </c>
      <c r="P232" s="9" t="str">
        <f>IF($K232="","",$K232+Dashboard!$B$7)</f>
        <v/>
      </c>
      <c r="Q232" s="9" t="str">
        <f t="shared" ca="1" si="3"/>
        <v/>
      </c>
    </row>
    <row r="233" spans="1:17" ht="25.5">
      <c r="A233" s="5">
        <v>64</v>
      </c>
      <c r="B233" s="5" t="s">
        <v>25</v>
      </c>
      <c r="C233" s="5" t="s">
        <v>407</v>
      </c>
      <c r="D233" s="5">
        <v>879</v>
      </c>
      <c r="E233" s="5" t="s">
        <v>1046</v>
      </c>
      <c r="F233" s="5" t="s">
        <v>47</v>
      </c>
      <c r="G233" s="27" t="s">
        <v>1047</v>
      </c>
      <c r="H233" s="8" t="s">
        <v>591</v>
      </c>
      <c r="I233" s="8"/>
      <c r="J233" s="8"/>
      <c r="K233" s="25"/>
      <c r="L233" s="26"/>
      <c r="M233" s="8"/>
      <c r="N233" s="9" t="str">
        <f>IF($K233="","",$K233+Dashboard!$B$5)</f>
        <v/>
      </c>
      <c r="O233" s="9" t="str">
        <f>IF($K233="","",$K233+Dashboard!$B$6)</f>
        <v/>
      </c>
      <c r="P233" s="9" t="str">
        <f>IF($K233="","",$K233+Dashboard!$B$7)</f>
        <v/>
      </c>
      <c r="Q233" s="9" t="str">
        <f t="shared" ca="1" si="3"/>
        <v/>
      </c>
    </row>
    <row r="234" spans="1:17" ht="25.5">
      <c r="A234" s="5">
        <v>64</v>
      </c>
      <c r="B234" s="5" t="s">
        <v>25</v>
      </c>
      <c r="C234" s="5" t="s">
        <v>407</v>
      </c>
      <c r="D234" s="5">
        <v>2585</v>
      </c>
      <c r="E234" s="5" t="s">
        <v>1048</v>
      </c>
      <c r="F234" s="5" t="s">
        <v>47</v>
      </c>
      <c r="G234" s="27" t="s">
        <v>1049</v>
      </c>
      <c r="H234" s="8" t="s">
        <v>591</v>
      </c>
      <c r="I234" s="8"/>
      <c r="J234" s="8"/>
      <c r="K234" s="25"/>
      <c r="L234" s="26"/>
      <c r="M234" s="8"/>
      <c r="N234" s="9" t="str">
        <f>IF($K234="","",$K234+Dashboard!$B$5)</f>
        <v/>
      </c>
      <c r="O234" s="9" t="str">
        <f>IF($K234="","",$K234+Dashboard!$B$6)</f>
        <v/>
      </c>
      <c r="P234" s="9" t="str">
        <f>IF($K234="","",$K234+Dashboard!$B$7)</f>
        <v/>
      </c>
      <c r="Q234" s="9" t="str">
        <f t="shared" ca="1" si="3"/>
        <v/>
      </c>
    </row>
    <row r="235" spans="1:17" ht="25.5">
      <c r="A235" s="5">
        <v>64</v>
      </c>
      <c r="B235" s="5" t="s">
        <v>25</v>
      </c>
      <c r="C235" s="5" t="s">
        <v>407</v>
      </c>
      <c r="D235" s="5">
        <v>1155</v>
      </c>
      <c r="E235" s="5" t="s">
        <v>1050</v>
      </c>
      <c r="F235" s="5" t="s">
        <v>45</v>
      </c>
      <c r="G235" s="27" t="s">
        <v>1051</v>
      </c>
      <c r="H235" s="8" t="s">
        <v>591</v>
      </c>
      <c r="I235" s="8"/>
      <c r="J235" s="8"/>
      <c r="K235" s="25"/>
      <c r="L235" s="26"/>
      <c r="M235" s="8"/>
      <c r="N235" s="9" t="str">
        <f>IF($K235="","",$K235+Dashboard!$B$5)</f>
        <v/>
      </c>
      <c r="O235" s="9" t="str">
        <f>IF($K235="","",$K235+Dashboard!$B$6)</f>
        <v/>
      </c>
      <c r="P235" s="9" t="str">
        <f>IF($K235="","",$K235+Dashboard!$B$7)</f>
        <v/>
      </c>
      <c r="Q235" s="9" t="str">
        <f t="shared" ca="1" si="3"/>
        <v/>
      </c>
    </row>
    <row r="236" spans="1:17" ht="25.5">
      <c r="A236" s="5">
        <v>64</v>
      </c>
      <c r="B236" s="5" t="s">
        <v>25</v>
      </c>
      <c r="C236" s="5" t="s">
        <v>407</v>
      </c>
      <c r="D236" s="5">
        <v>96</v>
      </c>
      <c r="E236" s="5" t="s">
        <v>1052</v>
      </c>
      <c r="F236" s="5" t="s">
        <v>45</v>
      </c>
      <c r="G236" s="27" t="s">
        <v>1053</v>
      </c>
      <c r="H236" s="8" t="s">
        <v>591</v>
      </c>
      <c r="I236" s="8"/>
      <c r="J236" s="8"/>
      <c r="K236" s="25"/>
      <c r="L236" s="26"/>
      <c r="M236" s="8"/>
      <c r="N236" s="9" t="str">
        <f>IF($K236="","",$K236+Dashboard!$B$5)</f>
        <v/>
      </c>
      <c r="O236" s="9" t="str">
        <f>IF($K236="","",$K236+Dashboard!$B$6)</f>
        <v/>
      </c>
      <c r="P236" s="9" t="str">
        <f>IF($K236="","",$K236+Dashboard!$B$7)</f>
        <v/>
      </c>
      <c r="Q236" s="9" t="str">
        <f t="shared" ca="1" si="3"/>
        <v/>
      </c>
    </row>
    <row r="237" spans="1:17" ht="25.5">
      <c r="A237" s="5">
        <v>65</v>
      </c>
      <c r="B237" s="5" t="s">
        <v>25</v>
      </c>
      <c r="C237" s="5" t="s">
        <v>412</v>
      </c>
      <c r="D237" s="5">
        <v>1143</v>
      </c>
      <c r="E237" s="5" t="s">
        <v>1054</v>
      </c>
      <c r="F237" s="5" t="s">
        <v>45</v>
      </c>
      <c r="G237" s="27" t="s">
        <v>1055</v>
      </c>
      <c r="H237" s="8" t="s">
        <v>591</v>
      </c>
      <c r="I237" s="8"/>
      <c r="J237" s="8"/>
      <c r="K237" s="25"/>
      <c r="L237" s="26"/>
      <c r="M237" s="8"/>
      <c r="N237" s="9" t="str">
        <f>IF($K237="","",$K237+Dashboard!$B$5)</f>
        <v/>
      </c>
      <c r="O237" s="9" t="str">
        <f>IF($K237="","",$K237+Dashboard!$B$6)</f>
        <v/>
      </c>
      <c r="P237" s="9" t="str">
        <f>IF($K237="","",$K237+Dashboard!$B$7)</f>
        <v/>
      </c>
      <c r="Q237" s="9" t="str">
        <f t="shared" ca="1" si="3"/>
        <v/>
      </c>
    </row>
    <row r="238" spans="1:17" ht="25.5">
      <c r="A238" s="5">
        <v>65</v>
      </c>
      <c r="B238" s="5" t="s">
        <v>25</v>
      </c>
      <c r="C238" s="5" t="s">
        <v>412</v>
      </c>
      <c r="D238" s="5">
        <v>72</v>
      </c>
      <c r="E238" s="5" t="s">
        <v>1056</v>
      </c>
      <c r="F238" s="5" t="s">
        <v>45</v>
      </c>
      <c r="G238" s="27" t="s">
        <v>1057</v>
      </c>
      <c r="H238" s="8" t="s">
        <v>591</v>
      </c>
      <c r="I238" s="8"/>
      <c r="J238" s="8"/>
      <c r="K238" s="25"/>
      <c r="L238" s="26"/>
      <c r="M238" s="8"/>
      <c r="N238" s="9" t="str">
        <f>IF($K238="","",$K238+Dashboard!$B$5)</f>
        <v/>
      </c>
      <c r="O238" s="9" t="str">
        <f>IF($K238="","",$K238+Dashboard!$B$6)</f>
        <v/>
      </c>
      <c r="P238" s="9" t="str">
        <f>IF($K238="","",$K238+Dashboard!$B$7)</f>
        <v/>
      </c>
      <c r="Q238" s="9" t="str">
        <f t="shared" ca="1" si="3"/>
        <v/>
      </c>
    </row>
    <row r="239" spans="1:17" ht="25.5">
      <c r="A239" s="5">
        <v>65</v>
      </c>
      <c r="B239" s="5" t="s">
        <v>25</v>
      </c>
      <c r="C239" s="5" t="s">
        <v>412</v>
      </c>
      <c r="D239" s="5">
        <v>583</v>
      </c>
      <c r="E239" s="5" t="s">
        <v>1058</v>
      </c>
      <c r="F239" s="5" t="s">
        <v>45</v>
      </c>
      <c r="G239" s="27" t="s">
        <v>1059</v>
      </c>
      <c r="H239" s="8" t="s">
        <v>591</v>
      </c>
      <c r="I239" s="8"/>
      <c r="J239" s="8"/>
      <c r="K239" s="25"/>
      <c r="L239" s="26"/>
      <c r="M239" s="8"/>
      <c r="N239" s="9" t="str">
        <f>IF($K239="","",$K239+Dashboard!$B$5)</f>
        <v/>
      </c>
      <c r="O239" s="9" t="str">
        <f>IF($K239="","",$K239+Dashboard!$B$6)</f>
        <v/>
      </c>
      <c r="P239" s="9" t="str">
        <f>IF($K239="","",$K239+Dashboard!$B$7)</f>
        <v/>
      </c>
      <c r="Q239" s="9" t="str">
        <f t="shared" ca="1" si="3"/>
        <v/>
      </c>
    </row>
    <row r="240" spans="1:17" ht="25.5">
      <c r="A240" s="5">
        <v>65</v>
      </c>
      <c r="B240" s="5" t="s">
        <v>25</v>
      </c>
      <c r="C240" s="5" t="s">
        <v>412</v>
      </c>
      <c r="D240" s="5">
        <v>97</v>
      </c>
      <c r="E240" s="5" t="s">
        <v>1060</v>
      </c>
      <c r="F240" s="5" t="s">
        <v>45</v>
      </c>
      <c r="G240" s="27" t="s">
        <v>1061</v>
      </c>
      <c r="H240" s="8" t="s">
        <v>591</v>
      </c>
      <c r="I240" s="8"/>
      <c r="J240" s="8"/>
      <c r="K240" s="25"/>
      <c r="L240" s="26"/>
      <c r="M240" s="8"/>
      <c r="N240" s="9" t="str">
        <f>IF($K240="","",$K240+Dashboard!$B$5)</f>
        <v/>
      </c>
      <c r="O240" s="9" t="str">
        <f>IF($K240="","",$K240+Dashboard!$B$6)</f>
        <v/>
      </c>
      <c r="P240" s="9" t="str">
        <f>IF($K240="","",$K240+Dashboard!$B$7)</f>
        <v/>
      </c>
      <c r="Q240" s="9" t="str">
        <f t="shared" ca="1" si="3"/>
        <v/>
      </c>
    </row>
    <row r="241" spans="1:17" ht="25.5">
      <c r="A241" s="5">
        <v>66</v>
      </c>
      <c r="B241" s="5" t="s">
        <v>25</v>
      </c>
      <c r="C241" s="5" t="s">
        <v>415</v>
      </c>
      <c r="D241" s="5">
        <v>516</v>
      </c>
      <c r="E241" s="5" t="s">
        <v>1062</v>
      </c>
      <c r="F241" s="5" t="s">
        <v>45</v>
      </c>
      <c r="G241" s="27" t="s">
        <v>1063</v>
      </c>
      <c r="H241" s="8" t="s">
        <v>591</v>
      </c>
      <c r="I241" s="8"/>
      <c r="J241" s="8"/>
      <c r="K241" s="25"/>
      <c r="L241" s="26"/>
      <c r="M241" s="8"/>
      <c r="N241" s="9" t="str">
        <f>IF($K241="","",$K241+Dashboard!$B$5)</f>
        <v/>
      </c>
      <c r="O241" s="9" t="str">
        <f>IF($K241="","",$K241+Dashboard!$B$6)</f>
        <v/>
      </c>
      <c r="P241" s="9" t="str">
        <f>IF($K241="","",$K241+Dashboard!$B$7)</f>
        <v/>
      </c>
      <c r="Q241" s="9" t="str">
        <f t="shared" ca="1" si="3"/>
        <v/>
      </c>
    </row>
    <row r="242" spans="1:17" ht="25.5">
      <c r="A242" s="5">
        <v>66</v>
      </c>
      <c r="B242" s="5" t="s">
        <v>25</v>
      </c>
      <c r="C242" s="5" t="s">
        <v>415</v>
      </c>
      <c r="D242" s="5">
        <v>5</v>
      </c>
      <c r="E242" s="5" t="s">
        <v>1064</v>
      </c>
      <c r="F242" s="5" t="s">
        <v>45</v>
      </c>
      <c r="G242" s="27" t="s">
        <v>1065</v>
      </c>
      <c r="H242" s="8" t="s">
        <v>591</v>
      </c>
      <c r="I242" s="8"/>
      <c r="J242" s="8"/>
      <c r="K242" s="25"/>
      <c r="L242" s="26"/>
      <c r="M242" s="8"/>
      <c r="N242" s="9" t="str">
        <f>IF($K242="","",$K242+Dashboard!$B$5)</f>
        <v/>
      </c>
      <c r="O242" s="9" t="str">
        <f>IF($K242="","",$K242+Dashboard!$B$6)</f>
        <v/>
      </c>
      <c r="P242" s="9" t="str">
        <f>IF($K242="","",$K242+Dashboard!$B$7)</f>
        <v/>
      </c>
      <c r="Q242" s="9" t="str">
        <f t="shared" ca="1" si="3"/>
        <v/>
      </c>
    </row>
    <row r="243" spans="1:17" ht="25.5">
      <c r="A243" s="5">
        <v>66</v>
      </c>
      <c r="B243" s="5" t="s">
        <v>25</v>
      </c>
      <c r="C243" s="5" t="s">
        <v>415</v>
      </c>
      <c r="D243" s="5">
        <v>647</v>
      </c>
      <c r="E243" s="5" t="s">
        <v>1066</v>
      </c>
      <c r="F243" s="5" t="s">
        <v>45</v>
      </c>
      <c r="G243" s="27" t="s">
        <v>1067</v>
      </c>
      <c r="H243" s="8" t="s">
        <v>591</v>
      </c>
      <c r="I243" s="8"/>
      <c r="J243" s="8"/>
      <c r="K243" s="25"/>
      <c r="L243" s="26"/>
      <c r="M243" s="8"/>
      <c r="N243" s="9" t="str">
        <f>IF($K243="","",$K243+Dashboard!$B$5)</f>
        <v/>
      </c>
      <c r="O243" s="9" t="str">
        <f>IF($K243="","",$K243+Dashboard!$B$6)</f>
        <v/>
      </c>
      <c r="P243" s="9" t="str">
        <f>IF($K243="","",$K243+Dashboard!$B$7)</f>
        <v/>
      </c>
      <c r="Q243" s="9" t="str">
        <f t="shared" ca="1" si="3"/>
        <v/>
      </c>
    </row>
    <row r="244" spans="1:17" ht="25.5">
      <c r="A244" s="5">
        <v>66</v>
      </c>
      <c r="B244" s="5" t="s">
        <v>25</v>
      </c>
      <c r="C244" s="5" t="s">
        <v>415</v>
      </c>
      <c r="D244" s="5">
        <v>132</v>
      </c>
      <c r="E244" s="5" t="s">
        <v>1068</v>
      </c>
      <c r="F244" s="5" t="s">
        <v>47</v>
      </c>
      <c r="G244" s="27" t="s">
        <v>1069</v>
      </c>
      <c r="H244" s="8" t="s">
        <v>591</v>
      </c>
      <c r="I244" s="8"/>
      <c r="J244" s="8"/>
      <c r="K244" s="25"/>
      <c r="L244" s="26"/>
      <c r="M244" s="8"/>
      <c r="N244" s="9" t="str">
        <f>IF($K244="","",$K244+Dashboard!$B$5)</f>
        <v/>
      </c>
      <c r="O244" s="9" t="str">
        <f>IF($K244="","",$K244+Dashboard!$B$6)</f>
        <v/>
      </c>
      <c r="P244" s="9" t="str">
        <f>IF($K244="","",$K244+Dashboard!$B$7)</f>
        <v/>
      </c>
      <c r="Q244" s="9" t="str">
        <f t="shared" ca="1" si="3"/>
        <v/>
      </c>
    </row>
    <row r="245" spans="1:17" ht="25.5">
      <c r="A245" s="5">
        <v>67</v>
      </c>
      <c r="B245" s="5" t="s">
        <v>25</v>
      </c>
      <c r="C245" s="5" t="s">
        <v>419</v>
      </c>
      <c r="D245" s="5">
        <v>115</v>
      </c>
      <c r="E245" s="5" t="s">
        <v>1070</v>
      </c>
      <c r="F245" s="5" t="s">
        <v>47</v>
      </c>
      <c r="G245" s="27" t="s">
        <v>1071</v>
      </c>
      <c r="H245" s="8" t="s">
        <v>591</v>
      </c>
      <c r="I245" s="8"/>
      <c r="J245" s="8"/>
      <c r="K245" s="25"/>
      <c r="L245" s="26"/>
      <c r="M245" s="8"/>
      <c r="N245" s="9" t="str">
        <f>IF($K245="","",$K245+Dashboard!$B$5)</f>
        <v/>
      </c>
      <c r="O245" s="9" t="str">
        <f>IF($K245="","",$K245+Dashboard!$B$6)</f>
        <v/>
      </c>
      <c r="P245" s="9" t="str">
        <f>IF($K245="","",$K245+Dashboard!$B$7)</f>
        <v/>
      </c>
      <c r="Q245" s="9" t="str">
        <f t="shared" ca="1" si="3"/>
        <v/>
      </c>
    </row>
    <row r="246" spans="1:17" ht="25.5">
      <c r="A246" s="5">
        <v>67</v>
      </c>
      <c r="B246" s="5" t="s">
        <v>25</v>
      </c>
      <c r="C246" s="5" t="s">
        <v>419</v>
      </c>
      <c r="D246" s="5">
        <v>44</v>
      </c>
      <c r="E246" s="5" t="s">
        <v>1072</v>
      </c>
      <c r="F246" s="5" t="s">
        <v>47</v>
      </c>
      <c r="G246" s="27" t="s">
        <v>1073</v>
      </c>
      <c r="H246" s="8" t="s">
        <v>591</v>
      </c>
      <c r="I246" s="8"/>
      <c r="J246" s="8"/>
      <c r="K246" s="25"/>
      <c r="L246" s="26"/>
      <c r="M246" s="8"/>
      <c r="N246" s="9" t="str">
        <f>IF($K246="","",$K246+Dashboard!$B$5)</f>
        <v/>
      </c>
      <c r="O246" s="9" t="str">
        <f>IF($K246="","",$K246+Dashboard!$B$6)</f>
        <v/>
      </c>
      <c r="P246" s="9" t="str">
        <f>IF($K246="","",$K246+Dashboard!$B$7)</f>
        <v/>
      </c>
      <c r="Q246" s="9" t="str">
        <f t="shared" ca="1" si="3"/>
        <v/>
      </c>
    </row>
    <row r="247" spans="1:17" ht="25.5">
      <c r="A247" s="5">
        <v>67</v>
      </c>
      <c r="B247" s="5" t="s">
        <v>25</v>
      </c>
      <c r="C247" s="5" t="s">
        <v>419</v>
      </c>
      <c r="D247" s="5">
        <v>10</v>
      </c>
      <c r="E247" s="5" t="s">
        <v>1074</v>
      </c>
      <c r="F247" s="5" t="s">
        <v>47</v>
      </c>
      <c r="G247" s="27" t="s">
        <v>1075</v>
      </c>
      <c r="H247" s="8" t="s">
        <v>591</v>
      </c>
      <c r="I247" s="8"/>
      <c r="J247" s="8"/>
      <c r="K247" s="25"/>
      <c r="L247" s="26"/>
      <c r="M247" s="8"/>
      <c r="N247" s="9" t="str">
        <f>IF($K247="","",$K247+Dashboard!$B$5)</f>
        <v/>
      </c>
      <c r="O247" s="9" t="str">
        <f>IF($K247="","",$K247+Dashboard!$B$6)</f>
        <v/>
      </c>
      <c r="P247" s="9" t="str">
        <f>IF($K247="","",$K247+Dashboard!$B$7)</f>
        <v/>
      </c>
      <c r="Q247" s="9" t="str">
        <f t="shared" ca="1" si="3"/>
        <v/>
      </c>
    </row>
    <row r="248" spans="1:17" ht="25.5">
      <c r="A248" s="5">
        <v>68</v>
      </c>
      <c r="B248" s="5" t="s">
        <v>25</v>
      </c>
      <c r="C248" s="5" t="s">
        <v>422</v>
      </c>
      <c r="D248" s="5">
        <v>123</v>
      </c>
      <c r="E248" s="5" t="s">
        <v>1076</v>
      </c>
      <c r="F248" s="5" t="s">
        <v>47</v>
      </c>
      <c r="G248" s="27" t="s">
        <v>1077</v>
      </c>
      <c r="H248" s="8" t="s">
        <v>591</v>
      </c>
      <c r="I248" s="8"/>
      <c r="J248" s="8"/>
      <c r="K248" s="25"/>
      <c r="L248" s="26"/>
      <c r="M248" s="8"/>
      <c r="N248" s="9" t="str">
        <f>IF($K248="","",$K248+Dashboard!$B$5)</f>
        <v/>
      </c>
      <c r="O248" s="9" t="str">
        <f>IF($K248="","",$K248+Dashboard!$B$6)</f>
        <v/>
      </c>
      <c r="P248" s="9" t="str">
        <f>IF($K248="","",$K248+Dashboard!$B$7)</f>
        <v/>
      </c>
      <c r="Q248" s="9" t="str">
        <f t="shared" ca="1" si="3"/>
        <v/>
      </c>
    </row>
    <row r="249" spans="1:17" ht="25.5">
      <c r="A249" s="5">
        <v>68</v>
      </c>
      <c r="B249" s="5" t="s">
        <v>25</v>
      </c>
      <c r="C249" s="5" t="s">
        <v>422</v>
      </c>
      <c r="D249" s="5">
        <v>188</v>
      </c>
      <c r="E249" s="5" t="s">
        <v>1078</v>
      </c>
      <c r="F249" s="5" t="s">
        <v>47</v>
      </c>
      <c r="G249" s="27" t="s">
        <v>1079</v>
      </c>
      <c r="H249" s="8" t="s">
        <v>591</v>
      </c>
      <c r="I249" s="8"/>
      <c r="J249" s="8"/>
      <c r="K249" s="25"/>
      <c r="L249" s="26"/>
      <c r="M249" s="8"/>
      <c r="N249" s="9" t="str">
        <f>IF($K249="","",$K249+Dashboard!$B$5)</f>
        <v/>
      </c>
      <c r="O249" s="9" t="str">
        <f>IF($K249="","",$K249+Dashboard!$B$6)</f>
        <v/>
      </c>
      <c r="P249" s="9" t="str">
        <f>IF($K249="","",$K249+Dashboard!$B$7)</f>
        <v/>
      </c>
      <c r="Q249" s="9" t="str">
        <f t="shared" ca="1" si="3"/>
        <v/>
      </c>
    </row>
    <row r="250" spans="1:17" ht="38.25">
      <c r="A250" s="5">
        <v>68</v>
      </c>
      <c r="B250" s="5" t="s">
        <v>25</v>
      </c>
      <c r="C250" s="5" t="s">
        <v>422</v>
      </c>
      <c r="D250" s="5">
        <v>309</v>
      </c>
      <c r="E250" s="5" t="s">
        <v>1080</v>
      </c>
      <c r="F250" s="5" t="s">
        <v>45</v>
      </c>
      <c r="G250" s="27" t="s">
        <v>1081</v>
      </c>
      <c r="H250" s="8" t="s">
        <v>591</v>
      </c>
      <c r="I250" s="8"/>
      <c r="J250" s="8"/>
      <c r="K250" s="25"/>
      <c r="L250" s="26"/>
      <c r="M250" s="8"/>
      <c r="N250" s="9" t="str">
        <f>IF($K250="","",$K250+Dashboard!$B$5)</f>
        <v/>
      </c>
      <c r="O250" s="9" t="str">
        <f>IF($K250="","",$K250+Dashboard!$B$6)</f>
        <v/>
      </c>
      <c r="P250" s="9" t="str">
        <f>IF($K250="","",$K250+Dashboard!$B$7)</f>
        <v/>
      </c>
      <c r="Q250" s="9" t="str">
        <f t="shared" ca="1" si="3"/>
        <v/>
      </c>
    </row>
    <row r="251" spans="1:17" ht="38.25">
      <c r="A251" s="5">
        <v>68</v>
      </c>
      <c r="B251" s="5" t="s">
        <v>25</v>
      </c>
      <c r="C251" s="5" t="s">
        <v>422</v>
      </c>
      <c r="D251" s="5">
        <v>714</v>
      </c>
      <c r="E251" s="5" t="s">
        <v>1082</v>
      </c>
      <c r="F251" s="5" t="s">
        <v>45</v>
      </c>
      <c r="G251" s="27" t="s">
        <v>1083</v>
      </c>
      <c r="H251" s="8" t="s">
        <v>591</v>
      </c>
      <c r="I251" s="8"/>
      <c r="J251" s="8"/>
      <c r="K251" s="25"/>
      <c r="L251" s="26"/>
      <c r="M251" s="8"/>
      <c r="N251" s="9" t="str">
        <f>IF($K251="","",$K251+Dashboard!$B$5)</f>
        <v/>
      </c>
      <c r="O251" s="9" t="str">
        <f>IF($K251="","",$K251+Dashboard!$B$6)</f>
        <v/>
      </c>
      <c r="P251" s="9" t="str">
        <f>IF($K251="","",$K251+Dashboard!$B$7)</f>
        <v/>
      </c>
      <c r="Q251" s="9" t="str">
        <f t="shared" ca="1" si="3"/>
        <v/>
      </c>
    </row>
    <row r="252" spans="1:17" ht="25.5">
      <c r="A252" s="5">
        <v>69</v>
      </c>
      <c r="B252" s="5" t="s">
        <v>25</v>
      </c>
      <c r="C252" s="5" t="s">
        <v>426</v>
      </c>
      <c r="D252" s="5">
        <v>1039</v>
      </c>
      <c r="E252" s="5" t="s">
        <v>1084</v>
      </c>
      <c r="F252" s="5" t="s">
        <v>45</v>
      </c>
      <c r="G252" s="27" t="s">
        <v>1085</v>
      </c>
      <c r="H252" s="8" t="s">
        <v>591</v>
      </c>
      <c r="I252" s="8"/>
      <c r="J252" s="8"/>
      <c r="K252" s="25"/>
      <c r="L252" s="26"/>
      <c r="M252" s="8"/>
      <c r="N252" s="9" t="str">
        <f>IF($K252="","",$K252+Dashboard!$B$5)</f>
        <v/>
      </c>
      <c r="O252" s="9" t="str">
        <f>IF($K252="","",$K252+Dashboard!$B$6)</f>
        <v/>
      </c>
      <c r="P252" s="9" t="str">
        <f>IF($K252="","",$K252+Dashboard!$B$7)</f>
        <v/>
      </c>
      <c r="Q252" s="9" t="str">
        <f t="shared" ca="1" si="3"/>
        <v/>
      </c>
    </row>
    <row r="253" spans="1:17" ht="38.25">
      <c r="A253" s="5">
        <v>69</v>
      </c>
      <c r="B253" s="5" t="s">
        <v>25</v>
      </c>
      <c r="C253" s="5" t="s">
        <v>426</v>
      </c>
      <c r="D253" s="5">
        <v>1312</v>
      </c>
      <c r="E253" s="5" t="s">
        <v>1086</v>
      </c>
      <c r="F253" s="5" t="s">
        <v>47</v>
      </c>
      <c r="G253" s="27" t="s">
        <v>1087</v>
      </c>
      <c r="H253" s="8" t="s">
        <v>591</v>
      </c>
      <c r="I253" s="8"/>
      <c r="J253" s="8"/>
      <c r="K253" s="25"/>
      <c r="L253" s="26"/>
      <c r="M253" s="8"/>
      <c r="N253" s="9" t="str">
        <f>IF($K253="","",$K253+Dashboard!$B$5)</f>
        <v/>
      </c>
      <c r="O253" s="9" t="str">
        <f>IF($K253="","",$K253+Dashboard!$B$6)</f>
        <v/>
      </c>
      <c r="P253" s="9" t="str">
        <f>IF($K253="","",$K253+Dashboard!$B$7)</f>
        <v/>
      </c>
      <c r="Q253" s="9" t="str">
        <f t="shared" ca="1" si="3"/>
        <v/>
      </c>
    </row>
    <row r="254" spans="1:17" ht="25.5">
      <c r="A254" s="5">
        <v>69</v>
      </c>
      <c r="B254" s="5" t="s">
        <v>25</v>
      </c>
      <c r="C254" s="5" t="s">
        <v>426</v>
      </c>
      <c r="D254" s="5">
        <v>375</v>
      </c>
      <c r="E254" s="5" t="s">
        <v>1088</v>
      </c>
      <c r="F254" s="5" t="s">
        <v>45</v>
      </c>
      <c r="G254" s="27" t="s">
        <v>1089</v>
      </c>
      <c r="H254" s="8" t="s">
        <v>591</v>
      </c>
      <c r="I254" s="8"/>
      <c r="J254" s="8"/>
      <c r="K254" s="25"/>
      <c r="L254" s="26"/>
      <c r="M254" s="8"/>
      <c r="N254" s="9" t="str">
        <f>IF($K254="","",$K254+Dashboard!$B$5)</f>
        <v/>
      </c>
      <c r="O254" s="9" t="str">
        <f>IF($K254="","",$K254+Dashboard!$B$6)</f>
        <v/>
      </c>
      <c r="P254" s="9" t="str">
        <f>IF($K254="","",$K254+Dashboard!$B$7)</f>
        <v/>
      </c>
      <c r="Q254" s="9" t="str">
        <f t="shared" ca="1" si="3"/>
        <v/>
      </c>
    </row>
    <row r="255" spans="1:17" ht="25.5">
      <c r="A255" s="5">
        <v>69</v>
      </c>
      <c r="B255" s="5" t="s">
        <v>25</v>
      </c>
      <c r="C255" s="5" t="s">
        <v>426</v>
      </c>
      <c r="D255" s="5">
        <v>664</v>
      </c>
      <c r="E255" s="5" t="s">
        <v>1090</v>
      </c>
      <c r="F255" s="5" t="s">
        <v>47</v>
      </c>
      <c r="G255" s="27" t="s">
        <v>1091</v>
      </c>
      <c r="H255" s="8" t="s">
        <v>591</v>
      </c>
      <c r="I255" s="8"/>
      <c r="J255" s="8"/>
      <c r="K255" s="25"/>
      <c r="L255" s="26"/>
      <c r="M255" s="8"/>
      <c r="N255" s="9" t="str">
        <f>IF($K255="","",$K255+Dashboard!$B$5)</f>
        <v/>
      </c>
      <c r="O255" s="9" t="str">
        <f>IF($K255="","",$K255+Dashboard!$B$6)</f>
        <v/>
      </c>
      <c r="P255" s="9" t="str">
        <f>IF($K255="","",$K255+Dashboard!$B$7)</f>
        <v/>
      </c>
      <c r="Q255" s="9" t="str">
        <f t="shared" ca="1" si="3"/>
        <v/>
      </c>
    </row>
    <row r="256" spans="1:17" ht="25.5">
      <c r="A256" s="5">
        <v>70</v>
      </c>
      <c r="B256" s="5" t="s">
        <v>25</v>
      </c>
      <c r="C256" s="5" t="s">
        <v>430</v>
      </c>
      <c r="D256" s="5">
        <v>464</v>
      </c>
      <c r="E256" s="5" t="s">
        <v>1092</v>
      </c>
      <c r="F256" s="5" t="s">
        <v>45</v>
      </c>
      <c r="G256" s="27" t="s">
        <v>1093</v>
      </c>
      <c r="H256" s="8" t="s">
        <v>591</v>
      </c>
      <c r="I256" s="8"/>
      <c r="J256" s="8"/>
      <c r="K256" s="25"/>
      <c r="L256" s="26"/>
      <c r="M256" s="8"/>
      <c r="N256" s="9" t="str">
        <f>IF($K256="","",$K256+Dashboard!$B$5)</f>
        <v/>
      </c>
      <c r="O256" s="9" t="str">
        <f>IF($K256="","",$K256+Dashboard!$B$6)</f>
        <v/>
      </c>
      <c r="P256" s="9" t="str">
        <f>IF($K256="","",$K256+Dashboard!$B$7)</f>
        <v/>
      </c>
      <c r="Q256" s="9" t="str">
        <f t="shared" ca="1" si="3"/>
        <v/>
      </c>
    </row>
    <row r="257" spans="1:17" ht="25.5">
      <c r="A257" s="5">
        <v>70</v>
      </c>
      <c r="B257" s="5" t="s">
        <v>25</v>
      </c>
      <c r="C257" s="5" t="s">
        <v>430</v>
      </c>
      <c r="D257" s="5">
        <v>691</v>
      </c>
      <c r="E257" s="5" t="s">
        <v>1094</v>
      </c>
      <c r="F257" s="5" t="s">
        <v>47</v>
      </c>
      <c r="G257" s="27" t="s">
        <v>1095</v>
      </c>
      <c r="H257" s="8" t="s">
        <v>591</v>
      </c>
      <c r="I257" s="8"/>
      <c r="J257" s="8"/>
      <c r="K257" s="25"/>
      <c r="L257" s="26"/>
      <c r="M257" s="8"/>
      <c r="N257" s="9" t="str">
        <f>IF($K257="","",$K257+Dashboard!$B$5)</f>
        <v/>
      </c>
      <c r="O257" s="9" t="str">
        <f>IF($K257="","",$K257+Dashboard!$B$6)</f>
        <v/>
      </c>
      <c r="P257" s="9" t="str">
        <f>IF($K257="","",$K257+Dashboard!$B$7)</f>
        <v/>
      </c>
      <c r="Q257" s="9" t="str">
        <f t="shared" ca="1" si="3"/>
        <v/>
      </c>
    </row>
    <row r="258" spans="1:17" ht="25.5">
      <c r="A258" s="5">
        <v>70</v>
      </c>
      <c r="B258" s="5" t="s">
        <v>25</v>
      </c>
      <c r="C258" s="5" t="s">
        <v>430</v>
      </c>
      <c r="D258" s="5">
        <v>1494</v>
      </c>
      <c r="E258" s="5" t="s">
        <v>1096</v>
      </c>
      <c r="F258" s="5" t="s">
        <v>47</v>
      </c>
      <c r="G258" s="27" t="s">
        <v>1097</v>
      </c>
      <c r="H258" s="8" t="s">
        <v>591</v>
      </c>
      <c r="I258" s="8"/>
      <c r="J258" s="8"/>
      <c r="K258" s="25"/>
      <c r="L258" s="26"/>
      <c r="M258" s="8"/>
      <c r="N258" s="9" t="str">
        <f>IF($K258="","",$K258+Dashboard!$B$5)</f>
        <v/>
      </c>
      <c r="O258" s="9" t="str">
        <f>IF($K258="","",$K258+Dashboard!$B$6)</f>
        <v/>
      </c>
      <c r="P258" s="9" t="str">
        <f>IF($K258="","",$K258+Dashboard!$B$7)</f>
        <v/>
      </c>
      <c r="Q258" s="9" t="str">
        <f t="shared" ca="1" si="3"/>
        <v/>
      </c>
    </row>
    <row r="259" spans="1:17" ht="38.25">
      <c r="A259" s="5">
        <v>70</v>
      </c>
      <c r="B259" s="5" t="s">
        <v>25</v>
      </c>
      <c r="C259" s="5" t="s">
        <v>430</v>
      </c>
      <c r="D259" s="5">
        <v>1434</v>
      </c>
      <c r="E259" s="5" t="s">
        <v>1098</v>
      </c>
      <c r="F259" s="5" t="s">
        <v>47</v>
      </c>
      <c r="G259" s="27" t="s">
        <v>1099</v>
      </c>
      <c r="H259" s="8" t="s">
        <v>591</v>
      </c>
      <c r="I259" s="8"/>
      <c r="J259" s="8"/>
      <c r="K259" s="25"/>
      <c r="L259" s="26"/>
      <c r="M259" s="8"/>
      <c r="N259" s="9" t="str">
        <f>IF($K259="","",$K259+Dashboard!$B$5)</f>
        <v/>
      </c>
      <c r="O259" s="9" t="str">
        <f>IF($K259="","",$K259+Dashboard!$B$6)</f>
        <v/>
      </c>
      <c r="P259" s="9" t="str">
        <f>IF($K259="","",$K259+Dashboard!$B$7)</f>
        <v/>
      </c>
      <c r="Q259" s="9" t="str">
        <f t="shared" ca="1" si="3"/>
        <v/>
      </c>
    </row>
    <row r="260" spans="1:17" ht="25.5">
      <c r="A260" s="5">
        <v>71</v>
      </c>
      <c r="B260" s="5" t="s">
        <v>25</v>
      </c>
      <c r="C260" s="5" t="s">
        <v>434</v>
      </c>
      <c r="D260" s="5">
        <v>337</v>
      </c>
      <c r="E260" s="5" t="s">
        <v>1100</v>
      </c>
      <c r="F260" s="5" t="s">
        <v>45</v>
      </c>
      <c r="G260" s="27" t="s">
        <v>1101</v>
      </c>
      <c r="H260" s="8" t="s">
        <v>591</v>
      </c>
      <c r="I260" s="8"/>
      <c r="J260" s="8"/>
      <c r="K260" s="25"/>
      <c r="L260" s="26"/>
      <c r="M260" s="8"/>
      <c r="N260" s="9" t="str">
        <f>IF($K260="","",$K260+Dashboard!$B$5)</f>
        <v/>
      </c>
      <c r="O260" s="9" t="str">
        <f>IF($K260="","",$K260+Dashboard!$B$6)</f>
        <v/>
      </c>
      <c r="P260" s="9" t="str">
        <f>IF($K260="","",$K260+Dashboard!$B$7)</f>
        <v/>
      </c>
      <c r="Q260" s="9" t="str">
        <f t="shared" ca="1" si="3"/>
        <v/>
      </c>
    </row>
    <row r="261" spans="1:17" ht="25.5">
      <c r="A261" s="5">
        <v>71</v>
      </c>
      <c r="B261" s="5" t="s">
        <v>25</v>
      </c>
      <c r="C261" s="5" t="s">
        <v>434</v>
      </c>
      <c r="D261" s="5">
        <v>968</v>
      </c>
      <c r="E261" s="5" t="s">
        <v>1102</v>
      </c>
      <c r="F261" s="5" t="s">
        <v>47</v>
      </c>
      <c r="G261" s="27" t="s">
        <v>1103</v>
      </c>
      <c r="H261" s="8" t="s">
        <v>591</v>
      </c>
      <c r="I261" s="8"/>
      <c r="J261" s="8"/>
      <c r="K261" s="25"/>
      <c r="L261" s="26"/>
      <c r="M261" s="8"/>
      <c r="N261" s="9" t="str">
        <f>IF($K261="","",$K261+Dashboard!$B$5)</f>
        <v/>
      </c>
      <c r="O261" s="9" t="str">
        <f>IF($K261="","",$K261+Dashboard!$B$6)</f>
        <v/>
      </c>
      <c r="P261" s="9" t="str">
        <f>IF($K261="","",$K261+Dashboard!$B$7)</f>
        <v/>
      </c>
      <c r="Q261" s="9" t="str">
        <f t="shared" ref="Q261:Q324" ca="1" si="4">IF($K261="","",IF(TODAY()&lt;=N261,N261,IF(TODAY()&lt;=O261,O261,IF(TODAY()&lt;=P261,P261,"Đã ôn đủ"))))</f>
        <v/>
      </c>
    </row>
    <row r="262" spans="1:17" ht="25.5">
      <c r="A262" s="5">
        <v>71</v>
      </c>
      <c r="B262" s="5" t="s">
        <v>25</v>
      </c>
      <c r="C262" s="5" t="s">
        <v>434</v>
      </c>
      <c r="D262" s="5">
        <v>124</v>
      </c>
      <c r="E262" s="5" t="s">
        <v>1104</v>
      </c>
      <c r="F262" s="5" t="s">
        <v>47</v>
      </c>
      <c r="G262" s="27" t="s">
        <v>1105</v>
      </c>
      <c r="H262" s="8" t="s">
        <v>591</v>
      </c>
      <c r="I262" s="8"/>
      <c r="J262" s="8"/>
      <c r="K262" s="25"/>
      <c r="L262" s="26"/>
      <c r="M262" s="8"/>
      <c r="N262" s="9" t="str">
        <f>IF($K262="","",$K262+Dashboard!$B$5)</f>
        <v/>
      </c>
      <c r="O262" s="9" t="str">
        <f>IF($K262="","",$K262+Dashboard!$B$6)</f>
        <v/>
      </c>
      <c r="P262" s="9" t="str">
        <f>IF($K262="","",$K262+Dashboard!$B$7)</f>
        <v/>
      </c>
      <c r="Q262" s="9" t="str">
        <f t="shared" ca="1" si="4"/>
        <v/>
      </c>
    </row>
    <row r="263" spans="1:17" ht="25.5">
      <c r="A263" s="5">
        <v>72</v>
      </c>
      <c r="B263" s="5" t="s">
        <v>25</v>
      </c>
      <c r="C263" s="5" t="s">
        <v>438</v>
      </c>
      <c r="D263" s="5">
        <v>233</v>
      </c>
      <c r="E263" s="5" t="s">
        <v>1106</v>
      </c>
      <c r="F263" s="5" t="s">
        <v>47</v>
      </c>
      <c r="G263" s="27" t="s">
        <v>1107</v>
      </c>
      <c r="H263" s="8" t="s">
        <v>591</v>
      </c>
      <c r="I263" s="8"/>
      <c r="J263" s="8"/>
      <c r="K263" s="25"/>
      <c r="L263" s="26"/>
      <c r="M263" s="8"/>
      <c r="N263" s="9" t="str">
        <f>IF($K263="","",$K263+Dashboard!$B$5)</f>
        <v/>
      </c>
      <c r="O263" s="9" t="str">
        <f>IF($K263="","",$K263+Dashboard!$B$6)</f>
        <v/>
      </c>
      <c r="P263" s="9" t="str">
        <f>IF($K263="","",$K263+Dashboard!$B$7)</f>
        <v/>
      </c>
      <c r="Q263" s="9" t="str">
        <f t="shared" ca="1" si="4"/>
        <v/>
      </c>
    </row>
    <row r="264" spans="1:17" ht="25.5">
      <c r="A264" s="5">
        <v>72</v>
      </c>
      <c r="B264" s="5" t="s">
        <v>25</v>
      </c>
      <c r="C264" s="5" t="s">
        <v>438</v>
      </c>
      <c r="D264" s="5">
        <v>902</v>
      </c>
      <c r="E264" s="5" t="s">
        <v>1108</v>
      </c>
      <c r="F264" s="5" t="s">
        <v>47</v>
      </c>
      <c r="G264" s="27" t="s">
        <v>1109</v>
      </c>
      <c r="H264" s="8" t="s">
        <v>591</v>
      </c>
      <c r="I264" s="8"/>
      <c r="J264" s="8"/>
      <c r="K264" s="25"/>
      <c r="L264" s="26"/>
      <c r="M264" s="8"/>
      <c r="N264" s="9" t="str">
        <f>IF($K264="","",$K264+Dashboard!$B$5)</f>
        <v/>
      </c>
      <c r="O264" s="9" t="str">
        <f>IF($K264="","",$K264+Dashboard!$B$6)</f>
        <v/>
      </c>
      <c r="P264" s="9" t="str">
        <f>IF($K264="","",$K264+Dashboard!$B$7)</f>
        <v/>
      </c>
      <c r="Q264" s="9" t="str">
        <f t="shared" ca="1" si="4"/>
        <v/>
      </c>
    </row>
    <row r="265" spans="1:17" ht="25.5">
      <c r="A265" s="5">
        <v>72</v>
      </c>
      <c r="B265" s="5" t="s">
        <v>25</v>
      </c>
      <c r="C265" s="5" t="s">
        <v>438</v>
      </c>
      <c r="D265" s="5">
        <v>688</v>
      </c>
      <c r="E265" s="5" t="s">
        <v>1110</v>
      </c>
      <c r="F265" s="5" t="s">
        <v>45</v>
      </c>
      <c r="G265" s="27" t="s">
        <v>1111</v>
      </c>
      <c r="H265" s="8" t="s">
        <v>591</v>
      </c>
      <c r="I265" s="8"/>
      <c r="J265" s="8"/>
      <c r="K265" s="25"/>
      <c r="L265" s="26"/>
      <c r="M265" s="8"/>
      <c r="N265" s="9" t="str">
        <f>IF($K265="","",$K265+Dashboard!$B$5)</f>
        <v/>
      </c>
      <c r="O265" s="9" t="str">
        <f>IF($K265="","",$K265+Dashboard!$B$6)</f>
        <v/>
      </c>
      <c r="P265" s="9" t="str">
        <f>IF($K265="","",$K265+Dashboard!$B$7)</f>
        <v/>
      </c>
      <c r="Q265" s="9" t="str">
        <f t="shared" ca="1" si="4"/>
        <v/>
      </c>
    </row>
    <row r="266" spans="1:17" ht="25.5">
      <c r="A266" s="5">
        <v>73</v>
      </c>
      <c r="B266" s="5" t="s">
        <v>25</v>
      </c>
      <c r="C266" s="5" t="s">
        <v>442</v>
      </c>
      <c r="D266" s="5">
        <v>650</v>
      </c>
      <c r="E266" s="5" t="s">
        <v>1112</v>
      </c>
      <c r="F266" s="5" t="s">
        <v>45</v>
      </c>
      <c r="G266" s="27" t="s">
        <v>1113</v>
      </c>
      <c r="H266" s="8" t="s">
        <v>591</v>
      </c>
      <c r="I266" s="8"/>
      <c r="J266" s="8"/>
      <c r="K266" s="25"/>
      <c r="L266" s="26"/>
      <c r="M266" s="8"/>
      <c r="N266" s="9" t="str">
        <f>IF($K266="","",$K266+Dashboard!$B$5)</f>
        <v/>
      </c>
      <c r="O266" s="9" t="str">
        <f>IF($K266="","",$K266+Dashboard!$B$6)</f>
        <v/>
      </c>
      <c r="P266" s="9" t="str">
        <f>IF($K266="","",$K266+Dashboard!$B$7)</f>
        <v/>
      </c>
      <c r="Q266" s="9" t="str">
        <f t="shared" ca="1" si="4"/>
        <v/>
      </c>
    </row>
    <row r="267" spans="1:17" ht="25.5">
      <c r="A267" s="5">
        <v>73</v>
      </c>
      <c r="B267" s="5" t="s">
        <v>25</v>
      </c>
      <c r="C267" s="5" t="s">
        <v>442</v>
      </c>
      <c r="D267" s="5">
        <v>1137</v>
      </c>
      <c r="E267" s="5" t="s">
        <v>1114</v>
      </c>
      <c r="F267" s="5" t="s">
        <v>43</v>
      </c>
      <c r="G267" s="27" t="s">
        <v>1115</v>
      </c>
      <c r="H267" s="8" t="s">
        <v>591</v>
      </c>
      <c r="I267" s="8"/>
      <c r="J267" s="8"/>
      <c r="K267" s="25"/>
      <c r="L267" s="26"/>
      <c r="M267" s="8"/>
      <c r="N267" s="9" t="str">
        <f>IF($K267="","",$K267+Dashboard!$B$5)</f>
        <v/>
      </c>
      <c r="O267" s="9" t="str">
        <f>IF($K267="","",$K267+Dashboard!$B$6)</f>
        <v/>
      </c>
      <c r="P267" s="9" t="str">
        <f>IF($K267="","",$K267+Dashboard!$B$7)</f>
        <v/>
      </c>
      <c r="Q267" s="9" t="str">
        <f t="shared" ca="1" si="4"/>
        <v/>
      </c>
    </row>
    <row r="268" spans="1:17" ht="25.5">
      <c r="A268" s="5">
        <v>73</v>
      </c>
      <c r="B268" s="5" t="s">
        <v>25</v>
      </c>
      <c r="C268" s="5" t="s">
        <v>442</v>
      </c>
      <c r="D268" s="5">
        <v>343</v>
      </c>
      <c r="E268" s="5" t="s">
        <v>1116</v>
      </c>
      <c r="F268" s="5" t="s">
        <v>45</v>
      </c>
      <c r="G268" s="27" t="s">
        <v>1117</v>
      </c>
      <c r="H268" s="8" t="s">
        <v>591</v>
      </c>
      <c r="I268" s="8"/>
      <c r="J268" s="8"/>
      <c r="K268" s="25"/>
      <c r="L268" s="26"/>
      <c r="M268" s="8"/>
      <c r="N268" s="9" t="str">
        <f>IF($K268="","",$K268+Dashboard!$B$5)</f>
        <v/>
      </c>
      <c r="O268" s="9" t="str">
        <f>IF($K268="","",$K268+Dashboard!$B$6)</f>
        <v/>
      </c>
      <c r="P268" s="9" t="str">
        <f>IF($K268="","",$K268+Dashboard!$B$7)</f>
        <v/>
      </c>
      <c r="Q268" s="9" t="str">
        <f t="shared" ca="1" si="4"/>
        <v/>
      </c>
    </row>
    <row r="269" spans="1:17">
      <c r="A269" s="5">
        <v>74</v>
      </c>
      <c r="B269" s="5" t="s">
        <v>26</v>
      </c>
      <c r="C269" s="5" t="s">
        <v>447</v>
      </c>
      <c r="D269" s="5">
        <v>733</v>
      </c>
      <c r="E269" s="5" t="s">
        <v>1118</v>
      </c>
      <c r="F269" s="5" t="s">
        <v>43</v>
      </c>
      <c r="G269" s="27" t="s">
        <v>1119</v>
      </c>
      <c r="H269" s="8" t="s">
        <v>591</v>
      </c>
      <c r="I269" s="8"/>
      <c r="J269" s="8"/>
      <c r="K269" s="25"/>
      <c r="L269" s="26"/>
      <c r="M269" s="8"/>
      <c r="N269" s="9" t="str">
        <f>IF($K269="","",$K269+Dashboard!$B$5)</f>
        <v/>
      </c>
      <c r="O269" s="9" t="str">
        <f>IF($K269="","",$K269+Dashboard!$B$6)</f>
        <v/>
      </c>
      <c r="P269" s="9" t="str">
        <f>IF($K269="","",$K269+Dashboard!$B$7)</f>
        <v/>
      </c>
      <c r="Q269" s="9" t="str">
        <f t="shared" ca="1" si="4"/>
        <v/>
      </c>
    </row>
    <row r="270" spans="1:17" ht="25.5">
      <c r="A270" s="5">
        <v>74</v>
      </c>
      <c r="B270" s="5" t="s">
        <v>26</v>
      </c>
      <c r="C270" s="5" t="s">
        <v>447</v>
      </c>
      <c r="D270" s="5">
        <v>200</v>
      </c>
      <c r="E270" s="5" t="s">
        <v>1120</v>
      </c>
      <c r="F270" s="5" t="s">
        <v>45</v>
      </c>
      <c r="G270" s="27" t="s">
        <v>1121</v>
      </c>
      <c r="H270" s="8" t="s">
        <v>591</v>
      </c>
      <c r="I270" s="8"/>
      <c r="J270" s="8"/>
      <c r="K270" s="25"/>
      <c r="L270" s="26"/>
      <c r="M270" s="8"/>
      <c r="N270" s="9" t="str">
        <f>IF($K270="","",$K270+Dashboard!$B$5)</f>
        <v/>
      </c>
      <c r="O270" s="9" t="str">
        <f>IF($K270="","",$K270+Dashboard!$B$6)</f>
        <v/>
      </c>
      <c r="P270" s="9" t="str">
        <f>IF($K270="","",$K270+Dashboard!$B$7)</f>
        <v/>
      </c>
      <c r="Q270" s="9" t="str">
        <f t="shared" ca="1" si="4"/>
        <v/>
      </c>
    </row>
    <row r="271" spans="1:17" ht="25.5">
      <c r="A271" s="5">
        <v>74</v>
      </c>
      <c r="B271" s="5" t="s">
        <v>26</v>
      </c>
      <c r="C271" s="5" t="s">
        <v>447</v>
      </c>
      <c r="D271" s="5">
        <v>695</v>
      </c>
      <c r="E271" s="5" t="s">
        <v>1122</v>
      </c>
      <c r="F271" s="5" t="s">
        <v>45</v>
      </c>
      <c r="G271" s="27" t="s">
        <v>1123</v>
      </c>
      <c r="H271" s="8" t="s">
        <v>591</v>
      </c>
      <c r="I271" s="8"/>
      <c r="J271" s="8"/>
      <c r="K271" s="25"/>
      <c r="L271" s="26"/>
      <c r="M271" s="8"/>
      <c r="N271" s="9" t="str">
        <f>IF($K271="","",$K271+Dashboard!$B$5)</f>
        <v/>
      </c>
      <c r="O271" s="9" t="str">
        <f>IF($K271="","",$K271+Dashboard!$B$6)</f>
        <v/>
      </c>
      <c r="P271" s="9" t="str">
        <f>IF($K271="","",$K271+Dashboard!$B$7)</f>
        <v/>
      </c>
      <c r="Q271" s="9" t="str">
        <f t="shared" ca="1" si="4"/>
        <v/>
      </c>
    </row>
    <row r="272" spans="1:17" ht="25.5">
      <c r="A272" s="5">
        <v>74</v>
      </c>
      <c r="B272" s="5" t="s">
        <v>26</v>
      </c>
      <c r="C272" s="5" t="s">
        <v>447</v>
      </c>
      <c r="D272" s="5">
        <v>1971</v>
      </c>
      <c r="E272" s="5" t="s">
        <v>1124</v>
      </c>
      <c r="F272" s="5" t="s">
        <v>43</v>
      </c>
      <c r="G272" s="27" t="s">
        <v>1125</v>
      </c>
      <c r="H272" s="8" t="s">
        <v>591</v>
      </c>
      <c r="I272" s="8"/>
      <c r="J272" s="8"/>
      <c r="K272" s="25"/>
      <c r="L272" s="26"/>
      <c r="M272" s="8"/>
      <c r="N272" s="9" t="str">
        <f>IF($K272="","",$K272+Dashboard!$B$5)</f>
        <v/>
      </c>
      <c r="O272" s="9" t="str">
        <f>IF($K272="","",$K272+Dashboard!$B$6)</f>
        <v/>
      </c>
      <c r="P272" s="9" t="str">
        <f>IF($K272="","",$K272+Dashboard!$B$7)</f>
        <v/>
      </c>
      <c r="Q272" s="9" t="str">
        <f t="shared" ca="1" si="4"/>
        <v/>
      </c>
    </row>
    <row r="273" spans="1:17" ht="25.5">
      <c r="A273" s="5">
        <v>75</v>
      </c>
      <c r="B273" s="5" t="s">
        <v>26</v>
      </c>
      <c r="C273" s="5" t="s">
        <v>453</v>
      </c>
      <c r="D273" s="5">
        <v>130</v>
      </c>
      <c r="E273" s="5" t="s">
        <v>1126</v>
      </c>
      <c r="F273" s="5" t="s">
        <v>45</v>
      </c>
      <c r="G273" s="27" t="s">
        <v>1127</v>
      </c>
      <c r="H273" s="8" t="s">
        <v>591</v>
      </c>
      <c r="I273" s="8"/>
      <c r="J273" s="8"/>
      <c r="K273" s="25"/>
      <c r="L273" s="26"/>
      <c r="M273" s="8"/>
      <c r="N273" s="9" t="str">
        <f>IF($K273="","",$K273+Dashboard!$B$5)</f>
        <v/>
      </c>
      <c r="O273" s="9" t="str">
        <f>IF($K273="","",$K273+Dashboard!$B$6)</f>
        <v/>
      </c>
      <c r="P273" s="9" t="str">
        <f>IF($K273="","",$K273+Dashboard!$B$7)</f>
        <v/>
      </c>
      <c r="Q273" s="9" t="str">
        <f t="shared" ca="1" si="4"/>
        <v/>
      </c>
    </row>
    <row r="274" spans="1:17" ht="25.5">
      <c r="A274" s="5">
        <v>75</v>
      </c>
      <c r="B274" s="5" t="s">
        <v>26</v>
      </c>
      <c r="C274" s="5" t="s">
        <v>453</v>
      </c>
      <c r="D274" s="5">
        <v>417</v>
      </c>
      <c r="E274" s="5" t="s">
        <v>1128</v>
      </c>
      <c r="F274" s="5" t="s">
        <v>45</v>
      </c>
      <c r="G274" s="27" t="s">
        <v>1129</v>
      </c>
      <c r="H274" s="8" t="s">
        <v>591</v>
      </c>
      <c r="I274" s="8"/>
      <c r="J274" s="8"/>
      <c r="K274" s="25"/>
      <c r="L274" s="26"/>
      <c r="M274" s="8"/>
      <c r="N274" s="9" t="str">
        <f>IF($K274="","",$K274+Dashboard!$B$5)</f>
        <v/>
      </c>
      <c r="O274" s="9" t="str">
        <f>IF($K274="","",$K274+Dashboard!$B$6)</f>
        <v/>
      </c>
      <c r="P274" s="9" t="str">
        <f>IF($K274="","",$K274+Dashboard!$B$7)</f>
        <v/>
      </c>
      <c r="Q274" s="9" t="str">
        <f t="shared" ca="1" si="4"/>
        <v/>
      </c>
    </row>
    <row r="275" spans="1:17" ht="25.5">
      <c r="A275" s="5">
        <v>75</v>
      </c>
      <c r="B275" s="5" t="s">
        <v>26</v>
      </c>
      <c r="C275" s="5" t="s">
        <v>453</v>
      </c>
      <c r="D275" s="5">
        <v>133</v>
      </c>
      <c r="E275" s="5" t="s">
        <v>1130</v>
      </c>
      <c r="F275" s="5" t="s">
        <v>45</v>
      </c>
      <c r="G275" s="27" t="s">
        <v>1131</v>
      </c>
      <c r="H275" s="8" t="s">
        <v>591</v>
      </c>
      <c r="I275" s="8"/>
      <c r="J275" s="8"/>
      <c r="K275" s="25"/>
      <c r="L275" s="26"/>
      <c r="M275" s="8"/>
      <c r="N275" s="9" t="str">
        <f>IF($K275="","",$K275+Dashboard!$B$5)</f>
        <v/>
      </c>
      <c r="O275" s="9" t="str">
        <f>IF($K275="","",$K275+Dashboard!$B$6)</f>
        <v/>
      </c>
      <c r="P275" s="9" t="str">
        <f>IF($K275="","",$K275+Dashboard!$B$7)</f>
        <v/>
      </c>
      <c r="Q275" s="9" t="str">
        <f t="shared" ca="1" si="4"/>
        <v/>
      </c>
    </row>
    <row r="276" spans="1:17" ht="25.5">
      <c r="A276" s="5">
        <v>75</v>
      </c>
      <c r="B276" s="5" t="s">
        <v>26</v>
      </c>
      <c r="C276" s="5" t="s">
        <v>453</v>
      </c>
      <c r="D276" s="5">
        <v>797</v>
      </c>
      <c r="E276" s="5" t="s">
        <v>1132</v>
      </c>
      <c r="F276" s="5" t="s">
        <v>45</v>
      </c>
      <c r="G276" s="27" t="s">
        <v>1133</v>
      </c>
      <c r="H276" s="8" t="s">
        <v>591</v>
      </c>
      <c r="I276" s="8"/>
      <c r="J276" s="8"/>
      <c r="K276" s="25"/>
      <c r="L276" s="26"/>
      <c r="M276" s="8"/>
      <c r="N276" s="9" t="str">
        <f>IF($K276="","",$K276+Dashboard!$B$5)</f>
        <v/>
      </c>
      <c r="O276" s="9" t="str">
        <f>IF($K276="","",$K276+Dashboard!$B$6)</f>
        <v/>
      </c>
      <c r="P276" s="9" t="str">
        <f>IF($K276="","",$K276+Dashboard!$B$7)</f>
        <v/>
      </c>
      <c r="Q276" s="9" t="str">
        <f t="shared" ca="1" si="4"/>
        <v/>
      </c>
    </row>
    <row r="277" spans="1:17" ht="25.5">
      <c r="A277" s="5">
        <v>76</v>
      </c>
      <c r="B277" s="5" t="s">
        <v>26</v>
      </c>
      <c r="C277" s="5" t="s">
        <v>458</v>
      </c>
      <c r="D277" s="5">
        <v>994</v>
      </c>
      <c r="E277" s="5" t="s">
        <v>1134</v>
      </c>
      <c r="F277" s="5" t="s">
        <v>45</v>
      </c>
      <c r="G277" s="27" t="s">
        <v>1135</v>
      </c>
      <c r="H277" s="8" t="s">
        <v>591</v>
      </c>
      <c r="I277" s="8"/>
      <c r="J277" s="8"/>
      <c r="K277" s="25"/>
      <c r="L277" s="26"/>
      <c r="M277" s="8"/>
      <c r="N277" s="9" t="str">
        <f>IF($K277="","",$K277+Dashboard!$B$5)</f>
        <v/>
      </c>
      <c r="O277" s="9" t="str">
        <f>IF($K277="","",$K277+Dashboard!$B$6)</f>
        <v/>
      </c>
      <c r="P277" s="9" t="str">
        <f>IF($K277="","",$K277+Dashboard!$B$7)</f>
        <v/>
      </c>
      <c r="Q277" s="9" t="str">
        <f t="shared" ca="1" si="4"/>
        <v/>
      </c>
    </row>
    <row r="278" spans="1:17" ht="25.5">
      <c r="A278" s="5">
        <v>76</v>
      </c>
      <c r="B278" s="5" t="s">
        <v>26</v>
      </c>
      <c r="C278" s="5" t="s">
        <v>458</v>
      </c>
      <c r="D278" s="5">
        <v>752</v>
      </c>
      <c r="E278" s="5" t="s">
        <v>1136</v>
      </c>
      <c r="F278" s="5" t="s">
        <v>45</v>
      </c>
      <c r="G278" s="27" t="s">
        <v>1137</v>
      </c>
      <c r="H278" s="8" t="s">
        <v>591</v>
      </c>
      <c r="I278" s="8"/>
      <c r="J278" s="8"/>
      <c r="K278" s="25"/>
      <c r="L278" s="26"/>
      <c r="M278" s="8"/>
      <c r="N278" s="9" t="str">
        <f>IF($K278="","",$K278+Dashboard!$B$5)</f>
        <v/>
      </c>
      <c r="O278" s="9" t="str">
        <f>IF($K278="","",$K278+Dashboard!$B$6)</f>
        <v/>
      </c>
      <c r="P278" s="9" t="str">
        <f>IF($K278="","",$K278+Dashboard!$B$7)</f>
        <v/>
      </c>
      <c r="Q278" s="9" t="str">
        <f t="shared" ca="1" si="4"/>
        <v/>
      </c>
    </row>
    <row r="279" spans="1:17" ht="25.5">
      <c r="A279" s="5">
        <v>76</v>
      </c>
      <c r="B279" s="5" t="s">
        <v>26</v>
      </c>
      <c r="C279" s="5" t="s">
        <v>458</v>
      </c>
      <c r="D279" s="5">
        <v>1091</v>
      </c>
      <c r="E279" s="5" t="s">
        <v>1138</v>
      </c>
      <c r="F279" s="5" t="s">
        <v>45</v>
      </c>
      <c r="G279" s="27" t="s">
        <v>1139</v>
      </c>
      <c r="H279" s="8" t="s">
        <v>591</v>
      </c>
      <c r="I279" s="8"/>
      <c r="J279" s="8"/>
      <c r="K279" s="25"/>
      <c r="L279" s="26"/>
      <c r="M279" s="8"/>
      <c r="N279" s="9" t="str">
        <f>IF($K279="","",$K279+Dashboard!$B$5)</f>
        <v/>
      </c>
      <c r="O279" s="9" t="str">
        <f>IF($K279="","",$K279+Dashboard!$B$6)</f>
        <v/>
      </c>
      <c r="P279" s="9" t="str">
        <f>IF($K279="","",$K279+Dashboard!$B$7)</f>
        <v/>
      </c>
      <c r="Q279" s="9" t="str">
        <f t="shared" ca="1" si="4"/>
        <v/>
      </c>
    </row>
    <row r="280" spans="1:17" ht="25.5">
      <c r="A280" s="5">
        <v>76</v>
      </c>
      <c r="B280" s="5" t="s">
        <v>26</v>
      </c>
      <c r="C280" s="5" t="s">
        <v>458</v>
      </c>
      <c r="D280" s="5">
        <v>127</v>
      </c>
      <c r="E280" s="5" t="s">
        <v>1140</v>
      </c>
      <c r="F280" s="5" t="s">
        <v>47</v>
      </c>
      <c r="G280" s="27" t="s">
        <v>1141</v>
      </c>
      <c r="H280" s="8" t="s">
        <v>591</v>
      </c>
      <c r="I280" s="8"/>
      <c r="J280" s="8"/>
      <c r="K280" s="25"/>
      <c r="L280" s="26"/>
      <c r="M280" s="8"/>
      <c r="N280" s="9" t="str">
        <f>IF($K280="","",$K280+Dashboard!$B$5)</f>
        <v/>
      </c>
      <c r="O280" s="9" t="str">
        <f>IF($K280="","",$K280+Dashboard!$B$6)</f>
        <v/>
      </c>
      <c r="P280" s="9" t="str">
        <f>IF($K280="","",$K280+Dashboard!$B$7)</f>
        <v/>
      </c>
      <c r="Q280" s="9" t="str">
        <f t="shared" ca="1" si="4"/>
        <v/>
      </c>
    </row>
    <row r="281" spans="1:17" ht="25.5">
      <c r="A281" s="5">
        <v>77</v>
      </c>
      <c r="B281" s="5" t="s">
        <v>26</v>
      </c>
      <c r="C281" s="5" t="s">
        <v>463</v>
      </c>
      <c r="D281" s="5">
        <v>207</v>
      </c>
      <c r="E281" s="5" t="s">
        <v>1142</v>
      </c>
      <c r="F281" s="5" t="s">
        <v>45</v>
      </c>
      <c r="G281" s="27" t="s">
        <v>1143</v>
      </c>
      <c r="H281" s="8" t="s">
        <v>591</v>
      </c>
      <c r="I281" s="8"/>
      <c r="J281" s="8"/>
      <c r="K281" s="25"/>
      <c r="L281" s="26"/>
      <c r="M281" s="8"/>
      <c r="N281" s="9" t="str">
        <f>IF($K281="","",$K281+Dashboard!$B$5)</f>
        <v/>
      </c>
      <c r="O281" s="9" t="str">
        <f>IF($K281="","",$K281+Dashboard!$B$6)</f>
        <v/>
      </c>
      <c r="P281" s="9" t="str">
        <f>IF($K281="","",$K281+Dashboard!$B$7)</f>
        <v/>
      </c>
      <c r="Q281" s="9" t="str">
        <f t="shared" ca="1" si="4"/>
        <v/>
      </c>
    </row>
    <row r="282" spans="1:17" ht="25.5">
      <c r="A282" s="5">
        <v>77</v>
      </c>
      <c r="B282" s="5" t="s">
        <v>26</v>
      </c>
      <c r="C282" s="5" t="s">
        <v>463</v>
      </c>
      <c r="D282" s="5">
        <v>210</v>
      </c>
      <c r="E282" s="5" t="s">
        <v>1144</v>
      </c>
      <c r="F282" s="5" t="s">
        <v>45</v>
      </c>
      <c r="G282" s="27" t="s">
        <v>1145</v>
      </c>
      <c r="H282" s="8" t="s">
        <v>591</v>
      </c>
      <c r="I282" s="8"/>
      <c r="J282" s="8"/>
      <c r="K282" s="25"/>
      <c r="L282" s="26"/>
      <c r="M282" s="8"/>
      <c r="N282" s="9" t="str">
        <f>IF($K282="","",$K282+Dashboard!$B$5)</f>
        <v/>
      </c>
      <c r="O282" s="9" t="str">
        <f>IF($K282="","",$K282+Dashboard!$B$6)</f>
        <v/>
      </c>
      <c r="P282" s="9" t="str">
        <f>IF($K282="","",$K282+Dashboard!$B$7)</f>
        <v/>
      </c>
      <c r="Q282" s="9" t="str">
        <f t="shared" ca="1" si="4"/>
        <v/>
      </c>
    </row>
    <row r="283" spans="1:17" ht="25.5">
      <c r="A283" s="5">
        <v>77</v>
      </c>
      <c r="B283" s="5" t="s">
        <v>26</v>
      </c>
      <c r="C283" s="5" t="s">
        <v>463</v>
      </c>
      <c r="D283" s="5">
        <v>802</v>
      </c>
      <c r="E283" s="5" t="s">
        <v>1146</v>
      </c>
      <c r="F283" s="5" t="s">
        <v>45</v>
      </c>
      <c r="G283" s="27" t="s">
        <v>1147</v>
      </c>
      <c r="H283" s="8" t="s">
        <v>591</v>
      </c>
      <c r="I283" s="8"/>
      <c r="J283" s="8"/>
      <c r="K283" s="25"/>
      <c r="L283" s="26"/>
      <c r="M283" s="8"/>
      <c r="N283" s="9" t="str">
        <f>IF($K283="","",$K283+Dashboard!$B$5)</f>
        <v/>
      </c>
      <c r="O283" s="9" t="str">
        <f>IF($K283="","",$K283+Dashboard!$B$6)</f>
        <v/>
      </c>
      <c r="P283" s="9" t="str">
        <f>IF($K283="","",$K283+Dashboard!$B$7)</f>
        <v/>
      </c>
      <c r="Q283" s="9" t="str">
        <f t="shared" ca="1" si="4"/>
        <v/>
      </c>
    </row>
    <row r="284" spans="1:17" ht="25.5">
      <c r="A284" s="5">
        <v>77</v>
      </c>
      <c r="B284" s="5" t="s">
        <v>26</v>
      </c>
      <c r="C284" s="5" t="s">
        <v>463</v>
      </c>
      <c r="D284" s="5">
        <v>310</v>
      </c>
      <c r="E284" s="5" t="s">
        <v>1148</v>
      </c>
      <c r="F284" s="5" t="s">
        <v>45</v>
      </c>
      <c r="G284" s="27" t="s">
        <v>1149</v>
      </c>
      <c r="H284" s="8" t="s">
        <v>591</v>
      </c>
      <c r="I284" s="8"/>
      <c r="J284" s="8"/>
      <c r="K284" s="25"/>
      <c r="L284" s="26"/>
      <c r="M284" s="8"/>
      <c r="N284" s="9" t="str">
        <f>IF($K284="","",$K284+Dashboard!$B$5)</f>
        <v/>
      </c>
      <c r="O284" s="9" t="str">
        <f>IF($K284="","",$K284+Dashboard!$B$6)</f>
        <v/>
      </c>
      <c r="P284" s="9" t="str">
        <f>IF($K284="","",$K284+Dashboard!$B$7)</f>
        <v/>
      </c>
      <c r="Q284" s="9" t="str">
        <f t="shared" ca="1" si="4"/>
        <v/>
      </c>
    </row>
    <row r="285" spans="1:17" ht="25.5">
      <c r="A285" s="5">
        <v>78</v>
      </c>
      <c r="B285" s="5" t="s">
        <v>26</v>
      </c>
      <c r="C285" s="5" t="s">
        <v>468</v>
      </c>
      <c r="D285" s="5">
        <v>785</v>
      </c>
      <c r="E285" s="5" t="s">
        <v>1150</v>
      </c>
      <c r="F285" s="5" t="s">
        <v>45</v>
      </c>
      <c r="G285" s="27" t="s">
        <v>1151</v>
      </c>
      <c r="H285" s="8" t="s">
        <v>591</v>
      </c>
      <c r="I285" s="8"/>
      <c r="J285" s="8"/>
      <c r="K285" s="25"/>
      <c r="L285" s="26"/>
      <c r="M285" s="8"/>
      <c r="N285" s="9" t="str">
        <f>IF($K285="","",$K285+Dashboard!$B$5)</f>
        <v/>
      </c>
      <c r="O285" s="9" t="str">
        <f>IF($K285="","",$K285+Dashboard!$B$6)</f>
        <v/>
      </c>
      <c r="P285" s="9" t="str">
        <f>IF($K285="","",$K285+Dashboard!$B$7)</f>
        <v/>
      </c>
      <c r="Q285" s="9" t="str">
        <f t="shared" ca="1" si="4"/>
        <v/>
      </c>
    </row>
    <row r="286" spans="1:17" ht="25.5">
      <c r="A286" s="5">
        <v>78</v>
      </c>
      <c r="B286" s="5" t="s">
        <v>26</v>
      </c>
      <c r="C286" s="5" t="s">
        <v>468</v>
      </c>
      <c r="D286" s="5">
        <v>886</v>
      </c>
      <c r="E286" s="5" t="s">
        <v>1152</v>
      </c>
      <c r="F286" s="5" t="s">
        <v>45</v>
      </c>
      <c r="G286" s="27" t="s">
        <v>1153</v>
      </c>
      <c r="H286" s="8" t="s">
        <v>591</v>
      </c>
      <c r="I286" s="8"/>
      <c r="J286" s="8"/>
      <c r="K286" s="25"/>
      <c r="L286" s="26"/>
      <c r="M286" s="8"/>
      <c r="N286" s="9" t="str">
        <f>IF($K286="","",$K286+Dashboard!$B$5)</f>
        <v/>
      </c>
      <c r="O286" s="9" t="str">
        <f>IF($K286="","",$K286+Dashboard!$B$6)</f>
        <v/>
      </c>
      <c r="P286" s="9" t="str">
        <f>IF($K286="","",$K286+Dashboard!$B$7)</f>
        <v/>
      </c>
      <c r="Q286" s="9" t="str">
        <f t="shared" ca="1" si="4"/>
        <v/>
      </c>
    </row>
    <row r="287" spans="1:17" ht="25.5">
      <c r="A287" s="5">
        <v>78</v>
      </c>
      <c r="B287" s="5" t="s">
        <v>26</v>
      </c>
      <c r="C287" s="5" t="s">
        <v>468</v>
      </c>
      <c r="D287" s="5">
        <v>1192</v>
      </c>
      <c r="E287" s="5" t="s">
        <v>1154</v>
      </c>
      <c r="F287" s="5" t="s">
        <v>47</v>
      </c>
      <c r="G287" s="27" t="s">
        <v>1155</v>
      </c>
      <c r="H287" s="8" t="s">
        <v>591</v>
      </c>
      <c r="I287" s="8"/>
      <c r="J287" s="8"/>
      <c r="K287" s="25"/>
      <c r="L287" s="26"/>
      <c r="M287" s="8"/>
      <c r="N287" s="9" t="str">
        <f>IF($K287="","",$K287+Dashboard!$B$5)</f>
        <v/>
      </c>
      <c r="O287" s="9" t="str">
        <f>IF($K287="","",$K287+Dashboard!$B$6)</f>
        <v/>
      </c>
      <c r="P287" s="9" t="str">
        <f>IF($K287="","",$K287+Dashboard!$B$7)</f>
        <v/>
      </c>
      <c r="Q287" s="9" t="str">
        <f t="shared" ca="1" si="4"/>
        <v/>
      </c>
    </row>
    <row r="288" spans="1:17" ht="25.5">
      <c r="A288" s="5">
        <v>79</v>
      </c>
      <c r="B288" s="5" t="s">
        <v>26</v>
      </c>
      <c r="C288" s="5" t="s">
        <v>472</v>
      </c>
      <c r="D288" s="5">
        <v>332</v>
      </c>
      <c r="E288" s="5" t="s">
        <v>1156</v>
      </c>
      <c r="F288" s="5" t="s">
        <v>47</v>
      </c>
      <c r="G288" s="27" t="s">
        <v>1157</v>
      </c>
      <c r="H288" s="8" t="s">
        <v>591</v>
      </c>
      <c r="I288" s="8"/>
      <c r="J288" s="8"/>
      <c r="K288" s="25"/>
      <c r="L288" s="26"/>
      <c r="M288" s="8"/>
      <c r="N288" s="9" t="str">
        <f>IF($K288="","",$K288+Dashboard!$B$5)</f>
        <v/>
      </c>
      <c r="O288" s="9" t="str">
        <f>IF($K288="","",$K288+Dashboard!$B$6)</f>
        <v/>
      </c>
      <c r="P288" s="9" t="str">
        <f>IF($K288="","",$K288+Dashboard!$B$7)</f>
        <v/>
      </c>
      <c r="Q288" s="9" t="str">
        <f t="shared" ca="1" si="4"/>
        <v/>
      </c>
    </row>
    <row r="289" spans="1:17" ht="25.5">
      <c r="A289" s="5">
        <v>79</v>
      </c>
      <c r="B289" s="5" t="s">
        <v>26</v>
      </c>
      <c r="C289" s="5" t="s">
        <v>472</v>
      </c>
      <c r="D289" s="5">
        <v>753</v>
      </c>
      <c r="E289" s="5" t="s">
        <v>1158</v>
      </c>
      <c r="F289" s="5" t="s">
        <v>47</v>
      </c>
      <c r="G289" s="27" t="s">
        <v>1159</v>
      </c>
      <c r="H289" s="8" t="s">
        <v>591</v>
      </c>
      <c r="I289" s="8"/>
      <c r="J289" s="8"/>
      <c r="K289" s="25"/>
      <c r="L289" s="26"/>
      <c r="M289" s="8"/>
      <c r="N289" s="9" t="str">
        <f>IF($K289="","",$K289+Dashboard!$B$5)</f>
        <v/>
      </c>
      <c r="O289" s="9" t="str">
        <f>IF($K289="","",$K289+Dashboard!$B$6)</f>
        <v/>
      </c>
      <c r="P289" s="9" t="str">
        <f>IF($K289="","",$K289+Dashboard!$B$7)</f>
        <v/>
      </c>
      <c r="Q289" s="9" t="str">
        <f t="shared" ca="1" si="4"/>
        <v/>
      </c>
    </row>
    <row r="290" spans="1:17" ht="25.5">
      <c r="A290" s="5">
        <v>79</v>
      </c>
      <c r="B290" s="5" t="s">
        <v>26</v>
      </c>
      <c r="C290" s="5" t="s">
        <v>472</v>
      </c>
      <c r="D290" s="5">
        <v>1857</v>
      </c>
      <c r="E290" s="5" t="s">
        <v>1160</v>
      </c>
      <c r="F290" s="5" t="s">
        <v>47</v>
      </c>
      <c r="G290" s="27" t="s">
        <v>1161</v>
      </c>
      <c r="H290" s="8" t="s">
        <v>591</v>
      </c>
      <c r="I290" s="8"/>
      <c r="J290" s="8"/>
      <c r="K290" s="25"/>
      <c r="L290" s="26"/>
      <c r="M290" s="8"/>
      <c r="N290" s="9" t="str">
        <f>IF($K290="","",$K290+Dashboard!$B$5)</f>
        <v/>
      </c>
      <c r="O290" s="9" t="str">
        <f>IF($K290="","",$K290+Dashboard!$B$6)</f>
        <v/>
      </c>
      <c r="P290" s="9" t="str">
        <f>IF($K290="","",$K290+Dashboard!$B$7)</f>
        <v/>
      </c>
      <c r="Q290" s="9" t="str">
        <f t="shared" ca="1" si="4"/>
        <v/>
      </c>
    </row>
    <row r="291" spans="1:17" ht="25.5">
      <c r="A291" s="5">
        <v>80</v>
      </c>
      <c r="B291" s="5" t="s">
        <v>26</v>
      </c>
      <c r="C291" s="5" t="s">
        <v>477</v>
      </c>
      <c r="D291" s="5">
        <v>787</v>
      </c>
      <c r="E291" s="5" t="s">
        <v>1162</v>
      </c>
      <c r="F291" s="5" t="s">
        <v>45</v>
      </c>
      <c r="G291" s="27" t="s">
        <v>1163</v>
      </c>
      <c r="H291" s="8" t="s">
        <v>591</v>
      </c>
      <c r="I291" s="8"/>
      <c r="J291" s="8"/>
      <c r="K291" s="25"/>
      <c r="L291" s="26"/>
      <c r="M291" s="8"/>
      <c r="N291" s="9" t="str">
        <f>IF($K291="","",$K291+Dashboard!$B$5)</f>
        <v/>
      </c>
      <c r="O291" s="9" t="str">
        <f>IF($K291="","",$K291+Dashboard!$B$6)</f>
        <v/>
      </c>
      <c r="P291" s="9" t="str">
        <f>IF($K291="","",$K291+Dashboard!$B$7)</f>
        <v/>
      </c>
      <c r="Q291" s="9" t="str">
        <f t="shared" ca="1" si="4"/>
        <v/>
      </c>
    </row>
    <row r="292" spans="1:17" ht="25.5">
      <c r="A292" s="5">
        <v>80</v>
      </c>
      <c r="B292" s="5" t="s">
        <v>26</v>
      </c>
      <c r="C292" s="5" t="s">
        <v>477</v>
      </c>
      <c r="D292" s="5">
        <v>1631</v>
      </c>
      <c r="E292" s="5" t="s">
        <v>1164</v>
      </c>
      <c r="F292" s="5" t="s">
        <v>45</v>
      </c>
      <c r="G292" s="27" t="s">
        <v>1165</v>
      </c>
      <c r="H292" s="8" t="s">
        <v>591</v>
      </c>
      <c r="I292" s="8"/>
      <c r="J292" s="8"/>
      <c r="K292" s="25"/>
      <c r="L292" s="26"/>
      <c r="M292" s="8"/>
      <c r="N292" s="9" t="str">
        <f>IF($K292="","",$K292+Dashboard!$B$5)</f>
        <v/>
      </c>
      <c r="O292" s="9" t="str">
        <f>IF($K292="","",$K292+Dashboard!$B$6)</f>
        <v/>
      </c>
      <c r="P292" s="9" t="str">
        <f>IF($K292="","",$K292+Dashboard!$B$7)</f>
        <v/>
      </c>
      <c r="Q292" s="9" t="str">
        <f t="shared" ca="1" si="4"/>
        <v/>
      </c>
    </row>
    <row r="293" spans="1:17" ht="25.5">
      <c r="A293" s="5">
        <v>80</v>
      </c>
      <c r="B293" s="5" t="s">
        <v>26</v>
      </c>
      <c r="C293" s="5" t="s">
        <v>477</v>
      </c>
      <c r="D293" s="5">
        <v>1514</v>
      </c>
      <c r="E293" s="5" t="s">
        <v>1166</v>
      </c>
      <c r="F293" s="5" t="s">
        <v>45</v>
      </c>
      <c r="G293" s="27" t="s">
        <v>1167</v>
      </c>
      <c r="H293" s="8" t="s">
        <v>591</v>
      </c>
      <c r="I293" s="8"/>
      <c r="J293" s="8"/>
      <c r="K293" s="25"/>
      <c r="L293" s="26"/>
      <c r="M293" s="8"/>
      <c r="N293" s="9" t="str">
        <f>IF($K293="","",$K293+Dashboard!$B$5)</f>
        <v/>
      </c>
      <c r="O293" s="9" t="str">
        <f>IF($K293="","",$K293+Dashboard!$B$6)</f>
        <v/>
      </c>
      <c r="P293" s="9" t="str">
        <f>IF($K293="","",$K293+Dashboard!$B$7)</f>
        <v/>
      </c>
      <c r="Q293" s="9" t="str">
        <f t="shared" ca="1" si="4"/>
        <v/>
      </c>
    </row>
    <row r="294" spans="1:17" ht="25.5">
      <c r="A294" s="5">
        <v>80</v>
      </c>
      <c r="B294" s="5" t="s">
        <v>26</v>
      </c>
      <c r="C294" s="5" t="s">
        <v>477</v>
      </c>
      <c r="D294" s="5">
        <v>778</v>
      </c>
      <c r="E294" s="5" t="s">
        <v>1168</v>
      </c>
      <c r="F294" s="5" t="s">
        <v>47</v>
      </c>
      <c r="G294" s="27" t="s">
        <v>1169</v>
      </c>
      <c r="H294" s="8" t="s">
        <v>591</v>
      </c>
      <c r="I294" s="8"/>
      <c r="J294" s="8"/>
      <c r="K294" s="25"/>
      <c r="L294" s="26"/>
      <c r="M294" s="8"/>
      <c r="N294" s="9" t="str">
        <f>IF($K294="","",$K294+Dashboard!$B$5)</f>
        <v/>
      </c>
      <c r="O294" s="9" t="str">
        <f>IF($K294="","",$K294+Dashboard!$B$6)</f>
        <v/>
      </c>
      <c r="P294" s="9" t="str">
        <f>IF($K294="","",$K294+Dashboard!$B$7)</f>
        <v/>
      </c>
      <c r="Q294" s="9" t="str">
        <f t="shared" ca="1" si="4"/>
        <v/>
      </c>
    </row>
    <row r="295" spans="1:17" ht="38.25">
      <c r="A295" s="5">
        <v>81</v>
      </c>
      <c r="B295" s="5" t="s">
        <v>26</v>
      </c>
      <c r="C295" s="5" t="s">
        <v>482</v>
      </c>
      <c r="D295" s="5">
        <v>1334</v>
      </c>
      <c r="E295" s="5" t="s">
        <v>1170</v>
      </c>
      <c r="F295" s="5" t="s">
        <v>45</v>
      </c>
      <c r="G295" s="27" t="s">
        <v>1171</v>
      </c>
      <c r="H295" s="8" t="s">
        <v>591</v>
      </c>
      <c r="I295" s="8"/>
      <c r="J295" s="8"/>
      <c r="K295" s="25"/>
      <c r="L295" s="26"/>
      <c r="M295" s="8"/>
      <c r="N295" s="9" t="str">
        <f>IF($K295="","",$K295+Dashboard!$B$5)</f>
        <v/>
      </c>
      <c r="O295" s="9" t="str">
        <f>IF($K295="","",$K295+Dashboard!$B$6)</f>
        <v/>
      </c>
      <c r="P295" s="9" t="str">
        <f>IF($K295="","",$K295+Dashboard!$B$7)</f>
        <v/>
      </c>
      <c r="Q295" s="9" t="str">
        <f t="shared" ca="1" si="4"/>
        <v/>
      </c>
    </row>
    <row r="296" spans="1:17" ht="51">
      <c r="A296" s="5">
        <v>81</v>
      </c>
      <c r="B296" s="5" t="s">
        <v>26</v>
      </c>
      <c r="C296" s="5" t="s">
        <v>482</v>
      </c>
      <c r="D296" s="5">
        <v>1489</v>
      </c>
      <c r="E296" s="5" t="s">
        <v>1172</v>
      </c>
      <c r="F296" s="5" t="s">
        <v>47</v>
      </c>
      <c r="G296" s="27" t="s">
        <v>1173</v>
      </c>
      <c r="H296" s="8" t="s">
        <v>591</v>
      </c>
      <c r="I296" s="8"/>
      <c r="J296" s="8"/>
      <c r="K296" s="25"/>
      <c r="L296" s="26"/>
      <c r="M296" s="8"/>
      <c r="N296" s="9" t="str">
        <f>IF($K296="","",$K296+Dashboard!$B$5)</f>
        <v/>
      </c>
      <c r="O296" s="9" t="str">
        <f>IF($K296="","",$K296+Dashboard!$B$6)</f>
        <v/>
      </c>
      <c r="P296" s="9" t="str">
        <f>IF($K296="","",$K296+Dashboard!$B$7)</f>
        <v/>
      </c>
      <c r="Q296" s="9" t="str">
        <f t="shared" ca="1" si="4"/>
        <v/>
      </c>
    </row>
    <row r="297" spans="1:17" ht="25.5">
      <c r="A297" s="5">
        <v>81</v>
      </c>
      <c r="B297" s="5" t="s">
        <v>26</v>
      </c>
      <c r="C297" s="5" t="s">
        <v>482</v>
      </c>
      <c r="D297" s="5">
        <v>2050</v>
      </c>
      <c r="E297" s="5" t="s">
        <v>1174</v>
      </c>
      <c r="F297" s="5" t="s">
        <v>47</v>
      </c>
      <c r="G297" s="27" t="s">
        <v>1175</v>
      </c>
      <c r="H297" s="8" t="s">
        <v>591</v>
      </c>
      <c r="I297" s="8"/>
      <c r="J297" s="8"/>
      <c r="K297" s="25"/>
      <c r="L297" s="26"/>
      <c r="M297" s="8"/>
      <c r="N297" s="9" t="str">
        <f>IF($K297="","",$K297+Dashboard!$B$5)</f>
        <v/>
      </c>
      <c r="O297" s="9" t="str">
        <f>IF($K297="","",$K297+Dashboard!$B$6)</f>
        <v/>
      </c>
      <c r="P297" s="9" t="str">
        <f>IF($K297="","",$K297+Dashboard!$B$7)</f>
        <v/>
      </c>
      <c r="Q297" s="9" t="str">
        <f t="shared" ca="1" si="4"/>
        <v/>
      </c>
    </row>
    <row r="298" spans="1:17" ht="25.5">
      <c r="A298" s="5">
        <v>82</v>
      </c>
      <c r="B298" s="5" t="s">
        <v>26</v>
      </c>
      <c r="C298" s="5" t="s">
        <v>487</v>
      </c>
      <c r="D298" s="5">
        <v>543</v>
      </c>
      <c r="E298" s="5" t="s">
        <v>1176</v>
      </c>
      <c r="F298" s="5" t="s">
        <v>43</v>
      </c>
      <c r="G298" s="27" t="s">
        <v>1177</v>
      </c>
      <c r="H298" s="8" t="s">
        <v>591</v>
      </c>
      <c r="I298" s="8"/>
      <c r="J298" s="8"/>
      <c r="K298" s="25"/>
      <c r="L298" s="26"/>
      <c r="M298" s="8"/>
      <c r="N298" s="9" t="str">
        <f>IF($K298="","",$K298+Dashboard!$B$5)</f>
        <v/>
      </c>
      <c r="O298" s="9" t="str">
        <f>IF($K298="","",$K298+Dashboard!$B$6)</f>
        <v/>
      </c>
      <c r="P298" s="9" t="str">
        <f>IF($K298="","",$K298+Dashboard!$B$7)</f>
        <v/>
      </c>
      <c r="Q298" s="9" t="str">
        <f t="shared" ca="1" si="4"/>
        <v/>
      </c>
    </row>
    <row r="299" spans="1:17" ht="25.5">
      <c r="A299" s="5">
        <v>82</v>
      </c>
      <c r="B299" s="5" t="s">
        <v>26</v>
      </c>
      <c r="C299" s="5" t="s">
        <v>487</v>
      </c>
      <c r="D299" s="5">
        <v>687</v>
      </c>
      <c r="E299" s="5" t="s">
        <v>1178</v>
      </c>
      <c r="F299" s="5" t="s">
        <v>45</v>
      </c>
      <c r="G299" s="27" t="s">
        <v>1179</v>
      </c>
      <c r="H299" s="8" t="s">
        <v>591</v>
      </c>
      <c r="I299" s="8"/>
      <c r="J299" s="8"/>
      <c r="K299" s="25"/>
      <c r="L299" s="26"/>
      <c r="M299" s="8"/>
      <c r="N299" s="9" t="str">
        <f>IF($K299="","",$K299+Dashboard!$B$5)</f>
        <v/>
      </c>
      <c r="O299" s="9" t="str">
        <f>IF($K299="","",$K299+Dashboard!$B$6)</f>
        <v/>
      </c>
      <c r="P299" s="9" t="str">
        <f>IF($K299="","",$K299+Dashboard!$B$7)</f>
        <v/>
      </c>
      <c r="Q299" s="9" t="str">
        <f t="shared" ca="1" si="4"/>
        <v/>
      </c>
    </row>
    <row r="300" spans="1:17" ht="25.5">
      <c r="A300" s="5">
        <v>82</v>
      </c>
      <c r="B300" s="5" t="s">
        <v>26</v>
      </c>
      <c r="C300" s="5" t="s">
        <v>487</v>
      </c>
      <c r="D300" s="5">
        <v>2246</v>
      </c>
      <c r="E300" s="5" t="s">
        <v>1180</v>
      </c>
      <c r="F300" s="5" t="s">
        <v>47</v>
      </c>
      <c r="G300" s="27" t="s">
        <v>1181</v>
      </c>
      <c r="H300" s="8" t="s">
        <v>591</v>
      </c>
      <c r="I300" s="8"/>
      <c r="J300" s="8"/>
      <c r="K300" s="25"/>
      <c r="L300" s="26"/>
      <c r="M300" s="8"/>
      <c r="N300" s="9" t="str">
        <f>IF($K300="","",$K300+Dashboard!$B$5)</f>
        <v/>
      </c>
      <c r="O300" s="9" t="str">
        <f>IF($K300="","",$K300+Dashboard!$B$6)</f>
        <v/>
      </c>
      <c r="P300" s="9" t="str">
        <f>IF($K300="","",$K300+Dashboard!$B$7)</f>
        <v/>
      </c>
      <c r="Q300" s="9" t="str">
        <f t="shared" ca="1" si="4"/>
        <v/>
      </c>
    </row>
    <row r="301" spans="1:17" ht="25.5">
      <c r="A301" s="5">
        <v>83</v>
      </c>
      <c r="B301" s="5" t="s">
        <v>26</v>
      </c>
      <c r="C301" s="5" t="s">
        <v>493</v>
      </c>
      <c r="D301" s="5">
        <v>834</v>
      </c>
      <c r="E301" s="5" t="s">
        <v>1182</v>
      </c>
      <c r="F301" s="5" t="s">
        <v>47</v>
      </c>
      <c r="G301" s="27" t="s">
        <v>1183</v>
      </c>
      <c r="H301" s="8" t="s">
        <v>591</v>
      </c>
      <c r="I301" s="8"/>
      <c r="J301" s="8"/>
      <c r="K301" s="25"/>
      <c r="L301" s="26"/>
      <c r="M301" s="8"/>
      <c r="N301" s="9" t="str">
        <f>IF($K301="","",$K301+Dashboard!$B$5)</f>
        <v/>
      </c>
      <c r="O301" s="9" t="str">
        <f>IF($K301="","",$K301+Dashboard!$B$6)</f>
        <v/>
      </c>
      <c r="P301" s="9" t="str">
        <f>IF($K301="","",$K301+Dashboard!$B$7)</f>
        <v/>
      </c>
      <c r="Q301" s="9" t="str">
        <f t="shared" ca="1" si="4"/>
        <v/>
      </c>
    </row>
    <row r="302" spans="1:17" ht="38.25">
      <c r="A302" s="5">
        <v>83</v>
      </c>
      <c r="B302" s="5" t="s">
        <v>26</v>
      </c>
      <c r="C302" s="5" t="s">
        <v>493</v>
      </c>
      <c r="D302" s="5">
        <v>1519</v>
      </c>
      <c r="E302" s="5" t="s">
        <v>1184</v>
      </c>
      <c r="F302" s="5" t="s">
        <v>45</v>
      </c>
      <c r="G302" s="27" t="s">
        <v>1185</v>
      </c>
      <c r="H302" s="8" t="s">
        <v>591</v>
      </c>
      <c r="I302" s="8"/>
      <c r="J302" s="8"/>
      <c r="K302" s="25"/>
      <c r="L302" s="26"/>
      <c r="M302" s="8"/>
      <c r="N302" s="9" t="str">
        <f>IF($K302="","",$K302+Dashboard!$B$5)</f>
        <v/>
      </c>
      <c r="O302" s="9" t="str">
        <f>IF($K302="","",$K302+Dashboard!$B$6)</f>
        <v/>
      </c>
      <c r="P302" s="9" t="str">
        <f>IF($K302="","",$K302+Dashboard!$B$7)</f>
        <v/>
      </c>
      <c r="Q302" s="9" t="str">
        <f t="shared" ca="1" si="4"/>
        <v/>
      </c>
    </row>
    <row r="303" spans="1:17" ht="38.25">
      <c r="A303" s="5">
        <v>83</v>
      </c>
      <c r="B303" s="5" t="s">
        <v>26</v>
      </c>
      <c r="C303" s="5" t="s">
        <v>493</v>
      </c>
      <c r="D303" s="5">
        <v>1443</v>
      </c>
      <c r="E303" s="5" t="s">
        <v>1186</v>
      </c>
      <c r="F303" s="5" t="s">
        <v>45</v>
      </c>
      <c r="G303" s="27" t="s">
        <v>1187</v>
      </c>
      <c r="H303" s="8" t="s">
        <v>591</v>
      </c>
      <c r="I303" s="8"/>
      <c r="J303" s="8"/>
      <c r="K303" s="25"/>
      <c r="L303" s="26"/>
      <c r="M303" s="8"/>
      <c r="N303" s="9" t="str">
        <f>IF($K303="","",$K303+Dashboard!$B$5)</f>
        <v/>
      </c>
      <c r="O303" s="9" t="str">
        <f>IF($K303="","",$K303+Dashboard!$B$6)</f>
        <v/>
      </c>
      <c r="P303" s="9" t="str">
        <f>IF($K303="","",$K303+Dashboard!$B$7)</f>
        <v/>
      </c>
      <c r="Q303" s="9" t="str">
        <f t="shared" ca="1" si="4"/>
        <v/>
      </c>
    </row>
    <row r="304" spans="1:17" ht="25.5">
      <c r="A304" s="5">
        <v>83</v>
      </c>
      <c r="B304" s="5" t="s">
        <v>26</v>
      </c>
      <c r="C304" s="5" t="s">
        <v>493</v>
      </c>
      <c r="D304" s="5">
        <v>979</v>
      </c>
      <c r="E304" s="5" t="s">
        <v>1188</v>
      </c>
      <c r="F304" s="5" t="s">
        <v>45</v>
      </c>
      <c r="G304" s="27" t="s">
        <v>1189</v>
      </c>
      <c r="H304" s="8" t="s">
        <v>591</v>
      </c>
      <c r="I304" s="8"/>
      <c r="J304" s="8"/>
      <c r="K304" s="25"/>
      <c r="L304" s="26"/>
      <c r="M304" s="8"/>
      <c r="N304" s="9" t="str">
        <f>IF($K304="","",$K304+Dashboard!$B$5)</f>
        <v/>
      </c>
      <c r="O304" s="9" t="str">
        <f>IF($K304="","",$K304+Dashboard!$B$6)</f>
        <v/>
      </c>
      <c r="P304" s="9" t="str">
        <f>IF($K304="","",$K304+Dashboard!$B$7)</f>
        <v/>
      </c>
      <c r="Q304" s="9" t="str">
        <f t="shared" ca="1" si="4"/>
        <v/>
      </c>
    </row>
    <row r="305" spans="1:17">
      <c r="A305" s="5">
        <v>84</v>
      </c>
      <c r="B305" s="5" t="s">
        <v>26</v>
      </c>
      <c r="C305" s="5" t="s">
        <v>499</v>
      </c>
      <c r="D305" s="5">
        <v>112</v>
      </c>
      <c r="E305" s="5" t="s">
        <v>1190</v>
      </c>
      <c r="F305" s="5" t="s">
        <v>43</v>
      </c>
      <c r="G305" s="27" t="s">
        <v>1191</v>
      </c>
      <c r="H305" s="8" t="s">
        <v>591</v>
      </c>
      <c r="I305" s="8"/>
      <c r="J305" s="8"/>
      <c r="K305" s="25"/>
      <c r="L305" s="26"/>
      <c r="M305" s="8"/>
      <c r="N305" s="9" t="str">
        <f>IF($K305="","",$K305+Dashboard!$B$5)</f>
        <v/>
      </c>
      <c r="O305" s="9" t="str">
        <f>IF($K305="","",$K305+Dashboard!$B$6)</f>
        <v/>
      </c>
      <c r="P305" s="9" t="str">
        <f>IF($K305="","",$K305+Dashboard!$B$7)</f>
        <v/>
      </c>
      <c r="Q305" s="9" t="str">
        <f t="shared" ca="1" si="4"/>
        <v/>
      </c>
    </row>
    <row r="306" spans="1:17" ht="25.5">
      <c r="A306" s="5">
        <v>84</v>
      </c>
      <c r="B306" s="5" t="s">
        <v>26</v>
      </c>
      <c r="C306" s="5" t="s">
        <v>499</v>
      </c>
      <c r="D306" s="5">
        <v>113</v>
      </c>
      <c r="E306" s="5" t="s">
        <v>1192</v>
      </c>
      <c r="F306" s="5" t="s">
        <v>45</v>
      </c>
      <c r="G306" s="27" t="s">
        <v>1193</v>
      </c>
      <c r="H306" s="8" t="s">
        <v>591</v>
      </c>
      <c r="I306" s="8"/>
      <c r="J306" s="8"/>
      <c r="K306" s="25"/>
      <c r="L306" s="26"/>
      <c r="M306" s="8"/>
      <c r="N306" s="9" t="str">
        <f>IF($K306="","",$K306+Dashboard!$B$5)</f>
        <v/>
      </c>
      <c r="O306" s="9" t="str">
        <f>IF($K306="","",$K306+Dashboard!$B$6)</f>
        <v/>
      </c>
      <c r="P306" s="9" t="str">
        <f>IF($K306="","",$K306+Dashboard!$B$7)</f>
        <v/>
      </c>
      <c r="Q306" s="9" t="str">
        <f t="shared" ca="1" si="4"/>
        <v/>
      </c>
    </row>
    <row r="307" spans="1:17" ht="25.5">
      <c r="A307" s="5">
        <v>84</v>
      </c>
      <c r="B307" s="5" t="s">
        <v>26</v>
      </c>
      <c r="C307" s="5" t="s">
        <v>499</v>
      </c>
      <c r="D307" s="5">
        <v>437</v>
      </c>
      <c r="E307" s="5" t="s">
        <v>1194</v>
      </c>
      <c r="F307" s="5" t="s">
        <v>45</v>
      </c>
      <c r="G307" s="27" t="s">
        <v>1195</v>
      </c>
      <c r="H307" s="8" t="s">
        <v>591</v>
      </c>
      <c r="I307" s="8"/>
      <c r="J307" s="8"/>
      <c r="K307" s="25"/>
      <c r="L307" s="26"/>
      <c r="M307" s="8"/>
      <c r="N307" s="9" t="str">
        <f>IF($K307="","",$K307+Dashboard!$B$5)</f>
        <v/>
      </c>
      <c r="O307" s="9" t="str">
        <f>IF($K307="","",$K307+Dashboard!$B$6)</f>
        <v/>
      </c>
      <c r="P307" s="9" t="str">
        <f>IF($K307="","",$K307+Dashboard!$B$7)</f>
        <v/>
      </c>
      <c r="Q307" s="9" t="str">
        <f t="shared" ca="1" si="4"/>
        <v/>
      </c>
    </row>
    <row r="308" spans="1:17" ht="25.5">
      <c r="A308" s="5">
        <v>84</v>
      </c>
      <c r="B308" s="5" t="s">
        <v>26</v>
      </c>
      <c r="C308" s="5" t="s">
        <v>499</v>
      </c>
      <c r="D308" s="5">
        <v>863</v>
      </c>
      <c r="E308" s="5" t="s">
        <v>1196</v>
      </c>
      <c r="F308" s="5" t="s">
        <v>45</v>
      </c>
      <c r="G308" s="27" t="s">
        <v>1197</v>
      </c>
      <c r="H308" s="8" t="s">
        <v>591</v>
      </c>
      <c r="I308" s="8"/>
      <c r="J308" s="8"/>
      <c r="K308" s="25"/>
      <c r="L308" s="26"/>
      <c r="M308" s="8"/>
      <c r="N308" s="9" t="str">
        <f>IF($K308="","",$K308+Dashboard!$B$5)</f>
        <v/>
      </c>
      <c r="O308" s="9" t="str">
        <f>IF($K308="","",$K308+Dashboard!$B$6)</f>
        <v/>
      </c>
      <c r="P308" s="9" t="str">
        <f>IF($K308="","",$K308+Dashboard!$B$7)</f>
        <v/>
      </c>
      <c r="Q308" s="9" t="str">
        <f t="shared" ca="1" si="4"/>
        <v/>
      </c>
    </row>
    <row r="309" spans="1:17" ht="25.5">
      <c r="A309" s="5">
        <v>85</v>
      </c>
      <c r="B309" s="5" t="s">
        <v>26</v>
      </c>
      <c r="C309" s="5" t="s">
        <v>503</v>
      </c>
      <c r="D309" s="5">
        <v>1376</v>
      </c>
      <c r="E309" s="5" t="s">
        <v>1198</v>
      </c>
      <c r="F309" s="5" t="s">
        <v>45</v>
      </c>
      <c r="G309" s="27" t="s">
        <v>1199</v>
      </c>
      <c r="H309" s="8" t="s">
        <v>591</v>
      </c>
      <c r="I309" s="8"/>
      <c r="J309" s="8"/>
      <c r="K309" s="25"/>
      <c r="L309" s="26"/>
      <c r="M309" s="8"/>
      <c r="N309" s="9" t="str">
        <f>IF($K309="","",$K309+Dashboard!$B$5)</f>
        <v/>
      </c>
      <c r="O309" s="9" t="str">
        <f>IF($K309="","",$K309+Dashboard!$B$6)</f>
        <v/>
      </c>
      <c r="P309" s="9" t="str">
        <f>IF($K309="","",$K309+Dashboard!$B$7)</f>
        <v/>
      </c>
      <c r="Q309" s="9" t="str">
        <f t="shared" ca="1" si="4"/>
        <v/>
      </c>
    </row>
    <row r="310" spans="1:17" ht="38.25">
      <c r="A310" s="5">
        <v>85</v>
      </c>
      <c r="B310" s="5" t="s">
        <v>26</v>
      </c>
      <c r="C310" s="5" t="s">
        <v>503</v>
      </c>
      <c r="D310" s="5">
        <v>2385</v>
      </c>
      <c r="E310" s="5" t="s">
        <v>1200</v>
      </c>
      <c r="F310" s="5" t="s">
        <v>45</v>
      </c>
      <c r="G310" s="27" t="s">
        <v>1201</v>
      </c>
      <c r="H310" s="8" t="s">
        <v>591</v>
      </c>
      <c r="I310" s="8"/>
      <c r="J310" s="8"/>
      <c r="K310" s="25"/>
      <c r="L310" s="26"/>
      <c r="M310" s="8"/>
      <c r="N310" s="9" t="str">
        <f>IF($K310="","",$K310+Dashboard!$B$5)</f>
        <v/>
      </c>
      <c r="O310" s="9" t="str">
        <f>IF($K310="","",$K310+Dashboard!$B$6)</f>
        <v/>
      </c>
      <c r="P310" s="9" t="str">
        <f>IF($K310="","",$K310+Dashboard!$B$7)</f>
        <v/>
      </c>
      <c r="Q310" s="9" t="str">
        <f t="shared" ca="1" si="4"/>
        <v/>
      </c>
    </row>
    <row r="311" spans="1:17" ht="25.5">
      <c r="A311" s="5">
        <v>85</v>
      </c>
      <c r="B311" s="5" t="s">
        <v>26</v>
      </c>
      <c r="C311" s="5" t="s">
        <v>503</v>
      </c>
      <c r="D311" s="5">
        <v>1530</v>
      </c>
      <c r="E311" s="5" t="s">
        <v>1202</v>
      </c>
      <c r="F311" s="5" t="s">
        <v>45</v>
      </c>
      <c r="G311" s="27" t="s">
        <v>1203</v>
      </c>
      <c r="H311" s="8" t="s">
        <v>591</v>
      </c>
      <c r="I311" s="8"/>
      <c r="J311" s="8"/>
      <c r="K311" s="25"/>
      <c r="L311" s="26"/>
      <c r="M311" s="8"/>
      <c r="N311" s="9" t="str">
        <f>IF($K311="","",$K311+Dashboard!$B$5)</f>
        <v/>
      </c>
      <c r="O311" s="9" t="str">
        <f>IF($K311="","",$K311+Dashboard!$B$6)</f>
        <v/>
      </c>
      <c r="P311" s="9" t="str">
        <f>IF($K311="","",$K311+Dashboard!$B$7)</f>
        <v/>
      </c>
      <c r="Q311" s="9" t="str">
        <f t="shared" ca="1" si="4"/>
        <v/>
      </c>
    </row>
    <row r="312" spans="1:17" ht="25.5">
      <c r="A312" s="5">
        <v>85</v>
      </c>
      <c r="B312" s="5" t="s">
        <v>26</v>
      </c>
      <c r="C312" s="5" t="s">
        <v>503</v>
      </c>
      <c r="D312" s="5">
        <v>1339</v>
      </c>
      <c r="E312" s="5" t="s">
        <v>1204</v>
      </c>
      <c r="F312" s="5" t="s">
        <v>45</v>
      </c>
      <c r="G312" s="27" t="s">
        <v>1205</v>
      </c>
      <c r="H312" s="8" t="s">
        <v>591</v>
      </c>
      <c r="I312" s="8"/>
      <c r="J312" s="8"/>
      <c r="K312" s="25"/>
      <c r="L312" s="26"/>
      <c r="M312" s="8"/>
      <c r="N312" s="9" t="str">
        <f>IF($K312="","",$K312+Dashboard!$B$5)</f>
        <v/>
      </c>
      <c r="O312" s="9" t="str">
        <f>IF($K312="","",$K312+Dashboard!$B$6)</f>
        <v/>
      </c>
      <c r="P312" s="9" t="str">
        <f>IF($K312="","",$K312+Dashboard!$B$7)</f>
        <v/>
      </c>
      <c r="Q312" s="9" t="str">
        <f t="shared" ca="1" si="4"/>
        <v/>
      </c>
    </row>
    <row r="313" spans="1:17" ht="25.5">
      <c r="A313" s="5">
        <v>86</v>
      </c>
      <c r="B313" s="5" t="s">
        <v>26</v>
      </c>
      <c r="C313" s="5" t="s">
        <v>506</v>
      </c>
      <c r="D313" s="5">
        <v>1202</v>
      </c>
      <c r="E313" s="5" t="s">
        <v>1206</v>
      </c>
      <c r="F313" s="5" t="s">
        <v>45</v>
      </c>
      <c r="G313" s="27" t="s">
        <v>1207</v>
      </c>
      <c r="H313" s="8" t="s">
        <v>591</v>
      </c>
      <c r="I313" s="8"/>
      <c r="J313" s="8"/>
      <c r="K313" s="25"/>
      <c r="L313" s="26"/>
      <c r="M313" s="8"/>
      <c r="N313" s="9" t="str">
        <f>IF($K313="","",$K313+Dashboard!$B$5)</f>
        <v/>
      </c>
      <c r="O313" s="9" t="str">
        <f>IF($K313="","",$K313+Dashboard!$B$6)</f>
        <v/>
      </c>
      <c r="P313" s="9" t="str">
        <f>IF($K313="","",$K313+Dashboard!$B$7)</f>
        <v/>
      </c>
      <c r="Q313" s="9" t="str">
        <f t="shared" ca="1" si="4"/>
        <v/>
      </c>
    </row>
    <row r="314" spans="1:17" ht="25.5">
      <c r="A314" s="5">
        <v>86</v>
      </c>
      <c r="B314" s="5" t="s">
        <v>26</v>
      </c>
      <c r="C314" s="5" t="s">
        <v>506</v>
      </c>
      <c r="D314" s="5">
        <v>399</v>
      </c>
      <c r="E314" s="5" t="s">
        <v>1208</v>
      </c>
      <c r="F314" s="5" t="s">
        <v>45</v>
      </c>
      <c r="G314" s="27" t="s">
        <v>1209</v>
      </c>
      <c r="H314" s="8" t="s">
        <v>591</v>
      </c>
      <c r="I314" s="8"/>
      <c r="J314" s="8"/>
      <c r="K314" s="25"/>
      <c r="L314" s="26"/>
      <c r="M314" s="8"/>
      <c r="N314" s="9" t="str">
        <f>IF($K314="","",$K314+Dashboard!$B$5)</f>
        <v/>
      </c>
      <c r="O314" s="9" t="str">
        <f>IF($K314="","",$K314+Dashboard!$B$6)</f>
        <v/>
      </c>
      <c r="P314" s="9" t="str">
        <f>IF($K314="","",$K314+Dashboard!$B$7)</f>
        <v/>
      </c>
      <c r="Q314" s="9" t="str">
        <f t="shared" ca="1" si="4"/>
        <v/>
      </c>
    </row>
    <row r="315" spans="1:17" ht="38.25">
      <c r="A315" s="5">
        <v>86</v>
      </c>
      <c r="B315" s="5" t="s">
        <v>26</v>
      </c>
      <c r="C315" s="5" t="s">
        <v>506</v>
      </c>
      <c r="D315" s="5">
        <v>1466</v>
      </c>
      <c r="E315" s="5" t="s">
        <v>1210</v>
      </c>
      <c r="F315" s="5" t="s">
        <v>45</v>
      </c>
      <c r="G315" s="27" t="s">
        <v>1211</v>
      </c>
      <c r="H315" s="8" t="s">
        <v>591</v>
      </c>
      <c r="I315" s="8"/>
      <c r="J315" s="8"/>
      <c r="K315" s="25"/>
      <c r="L315" s="26"/>
      <c r="M315" s="8"/>
      <c r="N315" s="9" t="str">
        <f>IF($K315="","",$K315+Dashboard!$B$5)</f>
        <v/>
      </c>
      <c r="O315" s="9" t="str">
        <f>IF($K315="","",$K315+Dashboard!$B$6)</f>
        <v/>
      </c>
      <c r="P315" s="9" t="str">
        <f>IF($K315="","",$K315+Dashboard!$B$7)</f>
        <v/>
      </c>
      <c r="Q315" s="9" t="str">
        <f t="shared" ca="1" si="4"/>
        <v/>
      </c>
    </row>
    <row r="316" spans="1:17" ht="25.5">
      <c r="A316" s="5">
        <v>88</v>
      </c>
      <c r="B316" s="5" t="s">
        <v>28</v>
      </c>
      <c r="C316" s="5" t="s">
        <v>517</v>
      </c>
      <c r="D316" s="5">
        <v>1349</v>
      </c>
      <c r="E316" s="5" t="s">
        <v>1212</v>
      </c>
      <c r="F316" s="5" t="s">
        <v>47</v>
      </c>
      <c r="G316" s="27" t="s">
        <v>1213</v>
      </c>
      <c r="H316" s="8" t="s">
        <v>591</v>
      </c>
      <c r="I316" s="8"/>
      <c r="J316" s="8"/>
      <c r="K316" s="25"/>
      <c r="L316" s="26"/>
      <c r="M316" s="8"/>
      <c r="N316" s="9" t="str">
        <f>IF($K316="","",$K316+Dashboard!$B$5)</f>
        <v/>
      </c>
      <c r="O316" s="9" t="str">
        <f>IF($K316="","",$K316+Dashboard!$B$6)</f>
        <v/>
      </c>
      <c r="P316" s="9" t="str">
        <f>IF($K316="","",$K316+Dashboard!$B$7)</f>
        <v/>
      </c>
      <c r="Q316" s="9" t="str">
        <f t="shared" ca="1" si="4"/>
        <v/>
      </c>
    </row>
    <row r="317" spans="1:17" ht="25.5">
      <c r="A317" s="5">
        <v>89</v>
      </c>
      <c r="B317" s="5" t="s">
        <v>28</v>
      </c>
      <c r="C317" s="5" t="s">
        <v>523</v>
      </c>
      <c r="D317" s="5">
        <v>1947</v>
      </c>
      <c r="E317" s="5" t="s">
        <v>1214</v>
      </c>
      <c r="F317" s="5" t="s">
        <v>45</v>
      </c>
      <c r="G317" s="27" t="s">
        <v>1215</v>
      </c>
      <c r="H317" s="8" t="s">
        <v>591</v>
      </c>
      <c r="I317" s="8"/>
      <c r="J317" s="8"/>
      <c r="K317" s="25"/>
      <c r="L317" s="26"/>
      <c r="M317" s="8"/>
      <c r="N317" s="9" t="str">
        <f>IF($K317="","",$K317+Dashboard!$B$5)</f>
        <v/>
      </c>
      <c r="O317" s="9" t="str">
        <f>IF($K317="","",$K317+Dashboard!$B$6)</f>
        <v/>
      </c>
      <c r="P317" s="9" t="str">
        <f>IF($K317="","",$K317+Dashboard!$B$7)</f>
        <v/>
      </c>
      <c r="Q317" s="9" t="str">
        <f t="shared" ca="1" si="4"/>
        <v/>
      </c>
    </row>
    <row r="318" spans="1:17" ht="25.5">
      <c r="A318" s="5">
        <v>89</v>
      </c>
      <c r="B318" s="5" t="s">
        <v>28</v>
      </c>
      <c r="C318" s="5" t="s">
        <v>523</v>
      </c>
      <c r="D318" s="5">
        <v>2850</v>
      </c>
      <c r="E318" s="5" t="s">
        <v>1216</v>
      </c>
      <c r="F318" s="5" t="s">
        <v>45</v>
      </c>
      <c r="G318" s="27" t="s">
        <v>1217</v>
      </c>
      <c r="H318" s="8" t="s">
        <v>591</v>
      </c>
      <c r="I318" s="8"/>
      <c r="J318" s="8"/>
      <c r="K318" s="25"/>
      <c r="L318" s="26"/>
      <c r="M318" s="8"/>
      <c r="N318" s="9" t="str">
        <f>IF($K318="","",$K318+Dashboard!$B$5)</f>
        <v/>
      </c>
      <c r="O318" s="9" t="str">
        <f>IF($K318="","",$K318+Dashboard!$B$6)</f>
        <v/>
      </c>
      <c r="P318" s="9" t="str">
        <f>IF($K318="","",$K318+Dashboard!$B$7)</f>
        <v/>
      </c>
      <c r="Q318" s="9" t="str">
        <f t="shared" ca="1" si="4"/>
        <v/>
      </c>
    </row>
    <row r="319" spans="1:17" ht="25.5">
      <c r="A319" s="5">
        <v>90</v>
      </c>
      <c r="B319" s="5" t="s">
        <v>28</v>
      </c>
      <c r="C319" s="5" t="s">
        <v>527</v>
      </c>
      <c r="D319" s="5">
        <v>1976</v>
      </c>
      <c r="E319" s="5" t="s">
        <v>1218</v>
      </c>
      <c r="F319" s="5" t="s">
        <v>45</v>
      </c>
      <c r="G319" s="27" t="s">
        <v>1219</v>
      </c>
      <c r="H319" s="8" t="s">
        <v>591</v>
      </c>
      <c r="I319" s="8"/>
      <c r="J319" s="8"/>
      <c r="K319" s="25"/>
      <c r="L319" s="26"/>
      <c r="M319" s="8"/>
      <c r="N319" s="9" t="str">
        <f>IF($K319="","",$K319+Dashboard!$B$5)</f>
        <v/>
      </c>
      <c r="O319" s="9" t="str">
        <f>IF($K319="","",$K319+Dashboard!$B$6)</f>
        <v/>
      </c>
      <c r="P319" s="9" t="str">
        <f>IF($K319="","",$K319+Dashboard!$B$7)</f>
        <v/>
      </c>
      <c r="Q319" s="9" t="str">
        <f t="shared" ca="1" si="4"/>
        <v/>
      </c>
    </row>
    <row r="320" spans="1:17" ht="38.25">
      <c r="A320" s="5">
        <v>90</v>
      </c>
      <c r="B320" s="5" t="s">
        <v>28</v>
      </c>
      <c r="C320" s="5" t="s">
        <v>527</v>
      </c>
      <c r="D320" s="5">
        <v>1368</v>
      </c>
      <c r="E320" s="5" t="s">
        <v>1220</v>
      </c>
      <c r="F320" s="5" t="s">
        <v>47</v>
      </c>
      <c r="G320" s="27" t="s">
        <v>1221</v>
      </c>
      <c r="H320" s="8" t="s">
        <v>591</v>
      </c>
      <c r="I320" s="8"/>
      <c r="J320" s="8"/>
      <c r="K320" s="25"/>
      <c r="L320" s="26"/>
      <c r="M320" s="8"/>
      <c r="N320" s="9" t="str">
        <f>IF($K320="","",$K320+Dashboard!$B$5)</f>
        <v/>
      </c>
      <c r="O320" s="9" t="str">
        <f>IF($K320="","",$K320+Dashboard!$B$6)</f>
        <v/>
      </c>
      <c r="P320" s="9" t="str">
        <f>IF($K320="","",$K320+Dashboard!$B$7)</f>
        <v/>
      </c>
      <c r="Q320" s="9" t="str">
        <f t="shared" ca="1" si="4"/>
        <v/>
      </c>
    </row>
    <row r="321" spans="1:17" ht="25.5">
      <c r="A321" s="5">
        <v>91</v>
      </c>
      <c r="B321" s="5" t="s">
        <v>30</v>
      </c>
      <c r="C321" s="5" t="s">
        <v>532</v>
      </c>
      <c r="D321" s="5">
        <v>1232</v>
      </c>
      <c r="E321" s="5" t="s">
        <v>1222</v>
      </c>
      <c r="F321" s="5" t="s">
        <v>43</v>
      </c>
      <c r="G321" s="27" t="s">
        <v>1223</v>
      </c>
      <c r="H321" s="8" t="s">
        <v>591</v>
      </c>
      <c r="I321" s="8"/>
      <c r="J321" s="8"/>
      <c r="K321" s="25"/>
      <c r="L321" s="26"/>
      <c r="M321" s="8"/>
      <c r="N321" s="9" t="str">
        <f>IF($K321="","",$K321+Dashboard!$B$5)</f>
        <v/>
      </c>
      <c r="O321" s="9" t="str">
        <f>IF($K321="","",$K321+Dashboard!$B$6)</f>
        <v/>
      </c>
      <c r="P321" s="9" t="str">
        <f>IF($K321="","",$K321+Dashboard!$B$7)</f>
        <v/>
      </c>
      <c r="Q321" s="9" t="str">
        <f t="shared" ca="1" si="4"/>
        <v/>
      </c>
    </row>
    <row r="322" spans="1:17" ht="25.5">
      <c r="A322" s="5">
        <v>91</v>
      </c>
      <c r="B322" s="5" t="s">
        <v>30</v>
      </c>
      <c r="C322" s="5" t="s">
        <v>532</v>
      </c>
      <c r="D322" s="5">
        <v>836</v>
      </c>
      <c r="E322" s="5" t="s">
        <v>1224</v>
      </c>
      <c r="F322" s="5" t="s">
        <v>43</v>
      </c>
      <c r="G322" s="27" t="s">
        <v>1225</v>
      </c>
      <c r="H322" s="8" t="s">
        <v>591</v>
      </c>
      <c r="I322" s="8"/>
      <c r="J322" s="8"/>
      <c r="K322" s="25"/>
      <c r="L322" s="26"/>
      <c r="M322" s="8"/>
      <c r="N322" s="9" t="str">
        <f>IF($K322="","",$K322+Dashboard!$B$5)</f>
        <v/>
      </c>
      <c r="O322" s="9" t="str">
        <f>IF($K322="","",$K322+Dashboard!$B$6)</f>
        <v/>
      </c>
      <c r="P322" s="9" t="str">
        <f>IF($K322="","",$K322+Dashboard!$B$7)</f>
        <v/>
      </c>
      <c r="Q322" s="9" t="str">
        <f t="shared" ca="1" si="4"/>
        <v/>
      </c>
    </row>
    <row r="323" spans="1:17" ht="25.5">
      <c r="A323" s="5">
        <v>91</v>
      </c>
      <c r="B323" s="5" t="s">
        <v>30</v>
      </c>
      <c r="C323" s="5" t="s">
        <v>532</v>
      </c>
      <c r="D323" s="5">
        <v>812</v>
      </c>
      <c r="E323" s="5" t="s">
        <v>1226</v>
      </c>
      <c r="F323" s="5" t="s">
        <v>43</v>
      </c>
      <c r="G323" s="27" t="s">
        <v>1227</v>
      </c>
      <c r="H323" s="8" t="s">
        <v>591</v>
      </c>
      <c r="I323" s="8"/>
      <c r="J323" s="8"/>
      <c r="K323" s="25"/>
      <c r="L323" s="26"/>
      <c r="M323" s="8"/>
      <c r="N323" s="9" t="str">
        <f>IF($K323="","",$K323+Dashboard!$B$5)</f>
        <v/>
      </c>
      <c r="O323" s="9" t="str">
        <f>IF($K323="","",$K323+Dashboard!$B$6)</f>
        <v/>
      </c>
      <c r="P323" s="9" t="str">
        <f>IF($K323="","",$K323+Dashboard!$B$7)</f>
        <v/>
      </c>
      <c r="Q323" s="9" t="str">
        <f t="shared" ca="1" si="4"/>
        <v/>
      </c>
    </row>
    <row r="324" spans="1:17" ht="25.5">
      <c r="A324" s="5">
        <v>91</v>
      </c>
      <c r="B324" s="5" t="s">
        <v>30</v>
      </c>
      <c r="C324" s="5" t="s">
        <v>532</v>
      </c>
      <c r="D324" s="5">
        <v>149</v>
      </c>
      <c r="E324" s="5" t="s">
        <v>1228</v>
      </c>
      <c r="F324" s="5" t="s">
        <v>47</v>
      </c>
      <c r="G324" s="27" t="s">
        <v>1229</v>
      </c>
      <c r="H324" s="8" t="s">
        <v>591</v>
      </c>
      <c r="I324" s="8"/>
      <c r="J324" s="8"/>
      <c r="K324" s="25"/>
      <c r="L324" s="26"/>
      <c r="M324" s="8"/>
      <c r="N324" s="9" t="str">
        <f>IF($K324="","",$K324+Dashboard!$B$5)</f>
        <v/>
      </c>
      <c r="O324" s="9" t="str">
        <f>IF($K324="","",$K324+Dashboard!$B$6)</f>
        <v/>
      </c>
      <c r="P324" s="9" t="str">
        <f>IF($K324="","",$K324+Dashboard!$B$7)</f>
        <v/>
      </c>
      <c r="Q324" s="9" t="str">
        <f t="shared" ca="1" si="4"/>
        <v/>
      </c>
    </row>
    <row r="325" spans="1:17" ht="25.5">
      <c r="A325" s="5">
        <v>92</v>
      </c>
      <c r="B325" s="5" t="s">
        <v>30</v>
      </c>
      <c r="C325" s="5" t="s">
        <v>538</v>
      </c>
      <c r="D325" s="5">
        <v>587</v>
      </c>
      <c r="E325" s="5" t="s">
        <v>1230</v>
      </c>
      <c r="F325" s="5" t="s">
        <v>47</v>
      </c>
      <c r="G325" s="27" t="s">
        <v>1231</v>
      </c>
      <c r="H325" s="8" t="s">
        <v>591</v>
      </c>
      <c r="I325" s="8"/>
      <c r="J325" s="8"/>
      <c r="K325" s="25"/>
      <c r="L325" s="26"/>
      <c r="M325" s="8"/>
      <c r="N325" s="9" t="str">
        <f>IF($K325="","",$K325+Dashboard!$B$5)</f>
        <v/>
      </c>
      <c r="O325" s="9" t="str">
        <f>IF($K325="","",$K325+Dashboard!$B$6)</f>
        <v/>
      </c>
      <c r="P325" s="9" t="str">
        <f>IF($K325="","",$K325+Dashboard!$B$7)</f>
        <v/>
      </c>
      <c r="Q325" s="9" t="str">
        <f t="shared" ref="Q325:Q388" ca="1" si="5">IF($K325="","",IF(TODAY()&lt;=N325,N325,IF(TODAY()&lt;=O325,O325,IF(TODAY()&lt;=P325,P325,"Đã ôn đủ"))))</f>
        <v/>
      </c>
    </row>
    <row r="326" spans="1:17" ht="25.5">
      <c r="A326" s="5">
        <v>92</v>
      </c>
      <c r="B326" s="5" t="s">
        <v>30</v>
      </c>
      <c r="C326" s="5" t="s">
        <v>538</v>
      </c>
      <c r="D326" s="5">
        <v>963</v>
      </c>
      <c r="E326" s="5" t="s">
        <v>1232</v>
      </c>
      <c r="F326" s="5" t="s">
        <v>45</v>
      </c>
      <c r="G326" s="27" t="s">
        <v>1233</v>
      </c>
      <c r="H326" s="8" t="s">
        <v>591</v>
      </c>
      <c r="I326" s="8"/>
      <c r="J326" s="8"/>
      <c r="K326" s="25"/>
      <c r="L326" s="26"/>
      <c r="M326" s="8"/>
      <c r="N326" s="9" t="str">
        <f>IF($K326="","",$K326+Dashboard!$B$5)</f>
        <v/>
      </c>
      <c r="O326" s="9" t="str">
        <f>IF($K326="","",$K326+Dashboard!$B$6)</f>
        <v/>
      </c>
      <c r="P326" s="9" t="str">
        <f>IF($K326="","",$K326+Dashboard!$B$7)</f>
        <v/>
      </c>
      <c r="Q326" s="9" t="str">
        <f t="shared" ca="1" si="5"/>
        <v/>
      </c>
    </row>
    <row r="327" spans="1:17" ht="25.5">
      <c r="A327" s="5">
        <v>92</v>
      </c>
      <c r="B327" s="5" t="s">
        <v>30</v>
      </c>
      <c r="C327" s="5" t="s">
        <v>538</v>
      </c>
      <c r="D327" s="5">
        <v>939</v>
      </c>
      <c r="E327" s="5" t="s">
        <v>1234</v>
      </c>
      <c r="F327" s="5" t="s">
        <v>45</v>
      </c>
      <c r="G327" s="27" t="s">
        <v>1235</v>
      </c>
      <c r="H327" s="8" t="s">
        <v>591</v>
      </c>
      <c r="I327" s="8"/>
      <c r="J327" s="8"/>
      <c r="K327" s="25"/>
      <c r="L327" s="26"/>
      <c r="M327" s="8"/>
      <c r="N327" s="9" t="str">
        <f>IF($K327="","",$K327+Dashboard!$B$5)</f>
        <v/>
      </c>
      <c r="O327" s="9" t="str">
        <f>IF($K327="","",$K327+Dashboard!$B$6)</f>
        <v/>
      </c>
      <c r="P327" s="9" t="str">
        <f>IF($K327="","",$K327+Dashboard!$B$7)</f>
        <v/>
      </c>
      <c r="Q327" s="9" t="str">
        <f t="shared" ca="1" si="5"/>
        <v/>
      </c>
    </row>
    <row r="328" spans="1:17" ht="25.5">
      <c r="A328" s="5">
        <v>92</v>
      </c>
      <c r="B328" s="5" t="s">
        <v>30</v>
      </c>
      <c r="C328" s="5" t="s">
        <v>538</v>
      </c>
      <c r="D328" s="5">
        <v>1401</v>
      </c>
      <c r="E328" s="5" t="s">
        <v>1236</v>
      </c>
      <c r="F328" s="5" t="s">
        <v>45</v>
      </c>
      <c r="G328" s="27" t="s">
        <v>1237</v>
      </c>
      <c r="H328" s="8" t="s">
        <v>591</v>
      </c>
      <c r="I328" s="8"/>
      <c r="J328" s="8"/>
      <c r="K328" s="25"/>
      <c r="L328" s="26"/>
      <c r="M328" s="8"/>
      <c r="N328" s="9" t="str">
        <f>IF($K328="","",$K328+Dashboard!$B$5)</f>
        <v/>
      </c>
      <c r="O328" s="9" t="str">
        <f>IF($K328="","",$K328+Dashboard!$B$6)</f>
        <v/>
      </c>
      <c r="P328" s="9" t="str">
        <f>IF($K328="","",$K328+Dashboard!$B$7)</f>
        <v/>
      </c>
      <c r="Q328" s="9" t="str">
        <f t="shared" ca="1" si="5"/>
        <v/>
      </c>
    </row>
    <row r="329" spans="1:17" ht="25.5">
      <c r="A329" s="5">
        <v>93</v>
      </c>
      <c r="B329" s="5" t="s">
        <v>30</v>
      </c>
      <c r="C329" s="5" t="s">
        <v>543</v>
      </c>
      <c r="D329" s="5">
        <v>2848</v>
      </c>
      <c r="E329" s="5" t="s">
        <v>1238</v>
      </c>
      <c r="F329" s="5" t="s">
        <v>43</v>
      </c>
      <c r="G329" s="27" t="s">
        <v>1239</v>
      </c>
      <c r="H329" s="8" t="s">
        <v>591</v>
      </c>
      <c r="I329" s="8"/>
      <c r="J329" s="8"/>
      <c r="K329" s="25"/>
      <c r="L329" s="26"/>
      <c r="M329" s="8"/>
      <c r="N329" s="9" t="str">
        <f>IF($K329="","",$K329+Dashboard!$B$5)</f>
        <v/>
      </c>
      <c r="O329" s="9" t="str">
        <f>IF($K329="","",$K329+Dashboard!$B$6)</f>
        <v/>
      </c>
      <c r="P329" s="9" t="str">
        <f>IF($K329="","",$K329+Dashboard!$B$7)</f>
        <v/>
      </c>
      <c r="Q329" s="9" t="str">
        <f t="shared" ca="1" si="5"/>
        <v/>
      </c>
    </row>
    <row r="330" spans="1:17" ht="25.5">
      <c r="A330" s="5">
        <v>93</v>
      </c>
      <c r="B330" s="5" t="s">
        <v>30</v>
      </c>
      <c r="C330" s="5" t="s">
        <v>543</v>
      </c>
      <c r="D330" s="5">
        <v>1828</v>
      </c>
      <c r="E330" s="5" t="s">
        <v>1240</v>
      </c>
      <c r="F330" s="5" t="s">
        <v>45</v>
      </c>
      <c r="G330" s="27" t="s">
        <v>1241</v>
      </c>
      <c r="H330" s="8" t="s">
        <v>591</v>
      </c>
      <c r="I330" s="8"/>
      <c r="J330" s="8"/>
      <c r="K330" s="25"/>
      <c r="L330" s="26"/>
      <c r="M330" s="8"/>
      <c r="N330" s="9" t="str">
        <f>IF($K330="","",$K330+Dashboard!$B$5)</f>
        <v/>
      </c>
      <c r="O330" s="9" t="str">
        <f>IF($K330="","",$K330+Dashboard!$B$6)</f>
        <v/>
      </c>
      <c r="P330" s="9" t="str">
        <f>IF($K330="","",$K330+Dashboard!$B$7)</f>
        <v/>
      </c>
      <c r="Q330" s="9" t="str">
        <f t="shared" ca="1" si="5"/>
        <v/>
      </c>
    </row>
    <row r="331" spans="1:17" ht="38.25">
      <c r="A331" s="5">
        <v>94</v>
      </c>
      <c r="B331" s="5" t="s">
        <v>32</v>
      </c>
      <c r="C331" s="5" t="s">
        <v>547</v>
      </c>
      <c r="D331" s="5">
        <v>28</v>
      </c>
      <c r="E331" s="5" t="s">
        <v>1242</v>
      </c>
      <c r="F331" s="5" t="s">
        <v>43</v>
      </c>
      <c r="G331" s="27" t="s">
        <v>1243</v>
      </c>
      <c r="H331" s="8" t="s">
        <v>591</v>
      </c>
      <c r="I331" s="8"/>
      <c r="J331" s="8"/>
      <c r="K331" s="25"/>
      <c r="L331" s="26"/>
      <c r="M331" s="8"/>
      <c r="N331" s="9" t="str">
        <f>IF($K331="","",$K331+Dashboard!$B$5)</f>
        <v/>
      </c>
      <c r="O331" s="9" t="str">
        <f>IF($K331="","",$K331+Dashboard!$B$6)</f>
        <v/>
      </c>
      <c r="P331" s="9" t="str">
        <f>IF($K331="","",$K331+Dashboard!$B$7)</f>
        <v/>
      </c>
      <c r="Q331" s="9" t="str">
        <f t="shared" ca="1" si="5"/>
        <v/>
      </c>
    </row>
    <row r="332" spans="1:17" ht="25.5">
      <c r="A332" s="5">
        <v>94</v>
      </c>
      <c r="B332" s="5" t="s">
        <v>32</v>
      </c>
      <c r="C332" s="5" t="s">
        <v>547</v>
      </c>
      <c r="D332" s="5">
        <v>459</v>
      </c>
      <c r="E332" s="5" t="s">
        <v>1244</v>
      </c>
      <c r="F332" s="5" t="s">
        <v>43</v>
      </c>
      <c r="G332" s="27" t="s">
        <v>1245</v>
      </c>
      <c r="H332" s="8" t="s">
        <v>591</v>
      </c>
      <c r="I332" s="8"/>
      <c r="J332" s="8"/>
      <c r="K332" s="25"/>
      <c r="L332" s="26"/>
      <c r="M332" s="8"/>
      <c r="N332" s="9" t="str">
        <f>IF($K332="","",$K332+Dashboard!$B$5)</f>
        <v/>
      </c>
      <c r="O332" s="9" t="str">
        <f>IF($K332="","",$K332+Dashboard!$B$6)</f>
        <v/>
      </c>
      <c r="P332" s="9" t="str">
        <f>IF($K332="","",$K332+Dashboard!$B$7)</f>
        <v/>
      </c>
      <c r="Q332" s="9" t="str">
        <f t="shared" ca="1" si="5"/>
        <v/>
      </c>
    </row>
    <row r="333" spans="1:17" ht="25.5">
      <c r="A333" s="5">
        <v>94</v>
      </c>
      <c r="B333" s="5" t="s">
        <v>32</v>
      </c>
      <c r="C333" s="5" t="s">
        <v>547</v>
      </c>
      <c r="D333" s="5">
        <v>214</v>
      </c>
      <c r="E333" s="5" t="s">
        <v>1246</v>
      </c>
      <c r="F333" s="5" t="s">
        <v>47</v>
      </c>
      <c r="G333" s="27" t="s">
        <v>1247</v>
      </c>
      <c r="H333" s="8" t="s">
        <v>591</v>
      </c>
      <c r="I333" s="8"/>
      <c r="J333" s="8"/>
      <c r="K333" s="25"/>
      <c r="L333" s="26"/>
      <c r="M333" s="8"/>
      <c r="N333" s="9" t="str">
        <f>IF($K333="","",$K333+Dashboard!$B$5)</f>
        <v/>
      </c>
      <c r="O333" s="9" t="str">
        <f>IF($K333="","",$K333+Dashboard!$B$6)</f>
        <v/>
      </c>
      <c r="P333" s="9" t="str">
        <f>IF($K333="","",$K333+Dashboard!$B$7)</f>
        <v/>
      </c>
      <c r="Q333" s="9" t="str">
        <f t="shared" ca="1" si="5"/>
        <v/>
      </c>
    </row>
    <row r="334" spans="1:17" ht="25.5">
      <c r="A334" s="5">
        <v>94</v>
      </c>
      <c r="B334" s="5" t="s">
        <v>32</v>
      </c>
      <c r="C334" s="5" t="s">
        <v>547</v>
      </c>
      <c r="D334" s="5">
        <v>686</v>
      </c>
      <c r="E334" s="5" t="s">
        <v>1248</v>
      </c>
      <c r="F334" s="5" t="s">
        <v>45</v>
      </c>
      <c r="G334" s="27" t="s">
        <v>1249</v>
      </c>
      <c r="H334" s="8" t="s">
        <v>591</v>
      </c>
      <c r="I334" s="8"/>
      <c r="J334" s="8"/>
      <c r="K334" s="25"/>
      <c r="L334" s="26"/>
      <c r="M334" s="8"/>
      <c r="N334" s="9" t="str">
        <f>IF($K334="","",$K334+Dashboard!$B$5)</f>
        <v/>
      </c>
      <c r="O334" s="9" t="str">
        <f>IF($K334="","",$K334+Dashboard!$B$6)</f>
        <v/>
      </c>
      <c r="P334" s="9" t="str">
        <f>IF($K334="","",$K334+Dashboard!$B$7)</f>
        <v/>
      </c>
      <c r="Q334" s="9" t="str">
        <f t="shared" ca="1" si="5"/>
        <v/>
      </c>
    </row>
    <row r="335" spans="1:17" ht="25.5">
      <c r="A335" s="5">
        <v>95</v>
      </c>
      <c r="B335" s="5" t="s">
        <v>32</v>
      </c>
      <c r="C335" s="5" t="s">
        <v>553</v>
      </c>
      <c r="D335" s="5">
        <v>187</v>
      </c>
      <c r="E335" s="5" t="s">
        <v>1250</v>
      </c>
      <c r="F335" s="5" t="s">
        <v>45</v>
      </c>
      <c r="G335" s="27" t="s">
        <v>1251</v>
      </c>
      <c r="H335" s="8" t="s">
        <v>591</v>
      </c>
      <c r="I335" s="8"/>
      <c r="J335" s="8"/>
      <c r="K335" s="25"/>
      <c r="L335" s="26"/>
      <c r="M335" s="8"/>
      <c r="N335" s="9" t="str">
        <f>IF($K335="","",$K335+Dashboard!$B$5)</f>
        <v/>
      </c>
      <c r="O335" s="9" t="str">
        <f>IF($K335="","",$K335+Dashboard!$B$6)</f>
        <v/>
      </c>
      <c r="P335" s="9" t="str">
        <f>IF($K335="","",$K335+Dashboard!$B$7)</f>
        <v/>
      </c>
      <c r="Q335" s="9" t="str">
        <f t="shared" ca="1" si="5"/>
        <v/>
      </c>
    </row>
    <row r="336" spans="1:17" ht="25.5">
      <c r="A336" s="5">
        <v>95</v>
      </c>
      <c r="B336" s="5" t="s">
        <v>32</v>
      </c>
      <c r="C336" s="5" t="s">
        <v>553</v>
      </c>
      <c r="D336" s="5">
        <v>1044</v>
      </c>
      <c r="E336" s="5" t="s">
        <v>1252</v>
      </c>
      <c r="F336" s="5" t="s">
        <v>47</v>
      </c>
      <c r="G336" s="27" t="s">
        <v>1253</v>
      </c>
      <c r="H336" s="8" t="s">
        <v>591</v>
      </c>
      <c r="I336" s="8"/>
      <c r="J336" s="8"/>
      <c r="K336" s="25"/>
      <c r="L336" s="26"/>
      <c r="M336" s="8"/>
      <c r="N336" s="9" t="str">
        <f>IF($K336="","",$K336+Dashboard!$B$5)</f>
        <v/>
      </c>
      <c r="O336" s="9" t="str">
        <f>IF($K336="","",$K336+Dashboard!$B$6)</f>
        <v/>
      </c>
      <c r="P336" s="9" t="str">
        <f>IF($K336="","",$K336+Dashboard!$B$7)</f>
        <v/>
      </c>
      <c r="Q336" s="9" t="str">
        <f t="shared" ca="1" si="5"/>
        <v/>
      </c>
    </row>
    <row r="337" spans="1:17" ht="25.5">
      <c r="A337" s="5">
        <v>95</v>
      </c>
      <c r="B337" s="5" t="s">
        <v>32</v>
      </c>
      <c r="C337" s="5" t="s">
        <v>553</v>
      </c>
      <c r="D337" s="5">
        <v>1392</v>
      </c>
      <c r="E337" s="5" t="s">
        <v>1254</v>
      </c>
      <c r="F337" s="5" t="s">
        <v>47</v>
      </c>
      <c r="G337" s="27" t="s">
        <v>1255</v>
      </c>
      <c r="H337" s="8" t="s">
        <v>591</v>
      </c>
      <c r="I337" s="8"/>
      <c r="J337" s="8"/>
      <c r="K337" s="25"/>
      <c r="L337" s="26"/>
      <c r="M337" s="8"/>
      <c r="N337" s="9" t="str">
        <f>IF($K337="","",$K337+Dashboard!$B$5)</f>
        <v/>
      </c>
      <c r="O337" s="9" t="str">
        <f>IF($K337="","",$K337+Dashboard!$B$6)</f>
        <v/>
      </c>
      <c r="P337" s="9" t="str">
        <f>IF($K337="","",$K337+Dashboard!$B$7)</f>
        <v/>
      </c>
      <c r="Q337" s="9" t="str">
        <f t="shared" ca="1" si="5"/>
        <v/>
      </c>
    </row>
    <row r="338" spans="1:17" ht="25.5">
      <c r="A338" s="5">
        <v>96</v>
      </c>
      <c r="B338" s="5" t="s">
        <v>32</v>
      </c>
      <c r="C338" s="5" t="s">
        <v>558</v>
      </c>
      <c r="D338" s="5">
        <v>336</v>
      </c>
      <c r="E338" s="5" t="s">
        <v>1256</v>
      </c>
      <c r="F338" s="5" t="s">
        <v>47</v>
      </c>
      <c r="G338" s="27" t="s">
        <v>1257</v>
      </c>
      <c r="H338" s="8" t="s">
        <v>591</v>
      </c>
      <c r="I338" s="8"/>
      <c r="J338" s="8"/>
      <c r="K338" s="25"/>
      <c r="L338" s="26"/>
      <c r="M338" s="8"/>
      <c r="N338" s="9" t="str">
        <f>IF($K338="","",$K338+Dashboard!$B$5)</f>
        <v/>
      </c>
      <c r="O338" s="9" t="str">
        <f>IF($K338="","",$K338+Dashboard!$B$6)</f>
        <v/>
      </c>
      <c r="P338" s="9" t="str">
        <f>IF($K338="","",$K338+Dashboard!$B$7)</f>
        <v/>
      </c>
      <c r="Q338" s="9" t="str">
        <f t="shared" ca="1" si="5"/>
        <v/>
      </c>
    </row>
    <row r="339" spans="1:17" ht="25.5">
      <c r="A339" s="5">
        <v>96</v>
      </c>
      <c r="B339" s="5" t="s">
        <v>32</v>
      </c>
      <c r="C339" s="5" t="s">
        <v>558</v>
      </c>
      <c r="D339" s="5">
        <v>1032</v>
      </c>
      <c r="E339" s="5" t="s">
        <v>1258</v>
      </c>
      <c r="F339" s="5" t="s">
        <v>47</v>
      </c>
      <c r="G339" s="27" t="s">
        <v>1259</v>
      </c>
      <c r="H339" s="8" t="s">
        <v>591</v>
      </c>
      <c r="I339" s="8"/>
      <c r="J339" s="8"/>
      <c r="K339" s="25"/>
      <c r="L339" s="26"/>
      <c r="M339" s="8"/>
      <c r="N339" s="9" t="str">
        <f>IF($K339="","",$K339+Dashboard!$B$5)</f>
        <v/>
      </c>
      <c r="O339" s="9" t="str">
        <f>IF($K339="","",$K339+Dashboard!$B$6)</f>
        <v/>
      </c>
      <c r="P339" s="9" t="str">
        <f>IF($K339="","",$K339+Dashboard!$B$7)</f>
        <v/>
      </c>
      <c r="Q339" s="9" t="str">
        <f t="shared" ca="1" si="5"/>
        <v/>
      </c>
    </row>
    <row r="340" spans="1:17" ht="25.5">
      <c r="A340" s="5">
        <v>97</v>
      </c>
      <c r="B340" s="5" t="s">
        <v>32</v>
      </c>
      <c r="C340" s="5" t="s">
        <v>562</v>
      </c>
      <c r="D340" s="5">
        <v>1163</v>
      </c>
      <c r="E340" s="5" t="s">
        <v>1260</v>
      </c>
      <c r="F340" s="5" t="s">
        <v>47</v>
      </c>
      <c r="G340" s="27" t="s">
        <v>1261</v>
      </c>
      <c r="H340" s="8" t="s">
        <v>591</v>
      </c>
      <c r="I340" s="8"/>
      <c r="J340" s="8"/>
      <c r="K340" s="25"/>
      <c r="L340" s="26"/>
      <c r="M340" s="8"/>
      <c r="N340" s="9" t="str">
        <f>IF($K340="","",$K340+Dashboard!$B$5)</f>
        <v/>
      </c>
      <c r="O340" s="9" t="str">
        <f>IF($K340="","",$K340+Dashboard!$B$6)</f>
        <v/>
      </c>
      <c r="P340" s="9" t="str">
        <f>IF($K340="","",$K340+Dashboard!$B$7)</f>
        <v/>
      </c>
      <c r="Q340" s="9" t="str">
        <f t="shared" ca="1" si="5"/>
        <v/>
      </c>
    </row>
    <row r="341" spans="1:17" ht="25.5">
      <c r="A341" s="5">
        <v>97</v>
      </c>
      <c r="B341" s="5" t="s">
        <v>32</v>
      </c>
      <c r="C341" s="5" t="s">
        <v>562</v>
      </c>
      <c r="D341" s="5">
        <v>1923</v>
      </c>
      <c r="E341" s="5" t="s">
        <v>1262</v>
      </c>
      <c r="F341" s="5" t="s">
        <v>47</v>
      </c>
      <c r="G341" s="27" t="s">
        <v>1263</v>
      </c>
      <c r="H341" s="8" t="s">
        <v>591</v>
      </c>
      <c r="I341" s="8"/>
      <c r="J341" s="8"/>
      <c r="K341" s="25"/>
      <c r="L341" s="26"/>
      <c r="M341" s="8"/>
      <c r="N341" s="9" t="str">
        <f>IF($K341="","",$K341+Dashboard!$B$5)</f>
        <v/>
      </c>
      <c r="O341" s="9" t="str">
        <f>IF($K341="","",$K341+Dashboard!$B$6)</f>
        <v/>
      </c>
      <c r="P341" s="9" t="str">
        <f>IF($K341="","",$K341+Dashboard!$B$7)</f>
        <v/>
      </c>
      <c r="Q341" s="9" t="str">
        <f t="shared" ca="1" si="5"/>
        <v/>
      </c>
    </row>
    <row r="342" spans="1:17" ht="25.5">
      <c r="A342" s="5">
        <v>98</v>
      </c>
      <c r="B342" s="5" t="s">
        <v>34</v>
      </c>
      <c r="C342" s="5" t="s">
        <v>566</v>
      </c>
      <c r="D342" s="5">
        <v>996</v>
      </c>
      <c r="E342" s="5" t="s">
        <v>1264</v>
      </c>
      <c r="F342" s="5" t="s">
        <v>47</v>
      </c>
      <c r="G342" s="27" t="s">
        <v>1265</v>
      </c>
      <c r="H342" s="8" t="s">
        <v>591</v>
      </c>
      <c r="I342" s="8"/>
      <c r="J342" s="8"/>
      <c r="K342" s="25"/>
      <c r="L342" s="26"/>
      <c r="M342" s="8"/>
      <c r="N342" s="9" t="str">
        <f>IF($K342="","",$K342+Dashboard!$B$5)</f>
        <v/>
      </c>
      <c r="O342" s="9" t="str">
        <f>IF($K342="","",$K342+Dashboard!$B$6)</f>
        <v/>
      </c>
      <c r="P342" s="9" t="str">
        <f>IF($K342="","",$K342+Dashboard!$B$7)</f>
        <v/>
      </c>
      <c r="Q342" s="9" t="str">
        <f t="shared" ca="1" si="5"/>
        <v/>
      </c>
    </row>
  </sheetData>
  <mergeCells count="2">
    <mergeCell ref="A1:Q1"/>
    <mergeCell ref="A2:Q2"/>
  </mergeCells>
  <conditionalFormatting sqref="Q5:Q342">
    <cfRule type="expression" dxfId="1" priority="7">
      <formula>$Q5=TODAY()</formula>
    </cfRule>
  </conditionalFormatting>
  <dataValidations count="3">
    <dataValidation type="list" sqref="H5:H342" xr:uid="{00000000-0002-0000-0200-000000000000}">
      <formula1>"Chưa làm,Đang làm,Xong,Cần ôn"</formula1>
    </dataValidation>
    <dataValidation type="list" sqref="I5:J342" xr:uid="{00000000-0002-0000-0200-000001000000}">
      <formula1>"✓"</formula1>
    </dataValidation>
    <dataValidation type="whole" sqref="L5:L342" xr:uid="{00000000-0002-0000-0200-000002000000}">
      <formula1>0</formula1>
      <formula2>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4"/>
  <sheetViews>
    <sheetView workbookViewId="0">
      <selection activeCell="C6" sqref="C6"/>
    </sheetView>
  </sheetViews>
  <sheetFormatPr defaultRowHeight="14.25"/>
  <cols>
    <col min="1" max="1" width="8" customWidth="1"/>
    <col min="2" max="2" width="12" customWidth="1"/>
    <col min="3" max="3" width="7" customWidth="1"/>
    <col min="4" max="4" width="12" customWidth="1"/>
    <col min="5" max="5" width="9" customWidth="1"/>
    <col min="6" max="6" width="10" customWidth="1"/>
    <col min="7" max="7" width="12" customWidth="1"/>
    <col min="8" max="9" width="44" customWidth="1"/>
    <col min="10" max="10" width="12" customWidth="1"/>
  </cols>
  <sheetData>
    <row r="1" spans="1:10" ht="18">
      <c r="A1" s="47" t="s">
        <v>1266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48" t="s">
        <v>1267</v>
      </c>
      <c r="B2" s="46"/>
      <c r="C2" s="46"/>
      <c r="D2" s="46"/>
      <c r="E2" s="46"/>
      <c r="F2" s="46"/>
      <c r="G2" s="46"/>
      <c r="H2" s="46"/>
      <c r="I2" s="46"/>
      <c r="J2" s="46"/>
    </row>
    <row r="4" spans="1:10" ht="25.5">
      <c r="A4" s="3" t="s">
        <v>1268</v>
      </c>
      <c r="B4" s="3" t="s">
        <v>70</v>
      </c>
      <c r="C4" s="3" t="s">
        <v>52</v>
      </c>
      <c r="D4" s="3" t="s">
        <v>1269</v>
      </c>
      <c r="E4" s="3" t="s">
        <v>53</v>
      </c>
      <c r="F4" s="3" t="s">
        <v>1270</v>
      </c>
      <c r="G4" s="3" t="s">
        <v>1271</v>
      </c>
      <c r="H4" s="3" t="s">
        <v>1272</v>
      </c>
      <c r="I4" s="3" t="s">
        <v>1273</v>
      </c>
      <c r="J4" s="3" t="s">
        <v>1274</v>
      </c>
    </row>
    <row r="5" spans="1:10">
      <c r="A5" s="5">
        <v>1</v>
      </c>
      <c r="B5" s="9">
        <f>Dashboard!$B$4+A5-1</f>
        <v>46300</v>
      </c>
      <c r="C5" s="5">
        <f t="shared" ref="C5:C36" si="0">INT((A5-1)/7)+1</f>
        <v>1</v>
      </c>
      <c r="D5" s="11"/>
      <c r="E5" s="10">
        <f>Roadmap!Q5</f>
        <v>3</v>
      </c>
      <c r="F5" s="5">
        <f>COUNTIF(LeetCode!$K$5:$K$400,B5)</f>
        <v>1</v>
      </c>
      <c r="G5" s="26"/>
      <c r="H5" s="8"/>
      <c r="I5" s="8"/>
      <c r="J5" s="5">
        <f>IF(D5&gt;0,1,0)</f>
        <v>0</v>
      </c>
    </row>
    <row r="6" spans="1:10">
      <c r="A6" s="5">
        <v>2</v>
      </c>
      <c r="B6" s="9">
        <f>Dashboard!$B$4+A6-1</f>
        <v>46301</v>
      </c>
      <c r="C6" s="5">
        <f t="shared" si="0"/>
        <v>1</v>
      </c>
      <c r="D6" s="11"/>
      <c r="E6" s="10">
        <f>Roadmap!Q6</f>
        <v>3</v>
      </c>
      <c r="F6" s="5">
        <f>COUNTIF(LeetCode!$K$5:$K$400,B6)</f>
        <v>0</v>
      </c>
      <c r="G6" s="26"/>
      <c r="H6" s="8"/>
      <c r="I6" s="8"/>
      <c r="J6" s="5">
        <f t="shared" ref="J6:J37" si="1">IF(D6&gt;0,J5+1,0)</f>
        <v>0</v>
      </c>
    </row>
    <row r="7" spans="1:10">
      <c r="A7" s="5">
        <v>3</v>
      </c>
      <c r="B7" s="9">
        <f>Dashboard!$B$4+A7-1</f>
        <v>46302</v>
      </c>
      <c r="C7" s="5">
        <f t="shared" si="0"/>
        <v>1</v>
      </c>
      <c r="D7" s="11"/>
      <c r="E7" s="10">
        <f>Roadmap!Q7</f>
        <v>3</v>
      </c>
      <c r="F7" s="5">
        <f>COUNTIF(LeetCode!$K$5:$K$400,B7)</f>
        <v>0</v>
      </c>
      <c r="G7" s="26"/>
      <c r="H7" s="8"/>
      <c r="I7" s="8"/>
      <c r="J7" s="5">
        <f t="shared" si="1"/>
        <v>0</v>
      </c>
    </row>
    <row r="8" spans="1:10">
      <c r="A8" s="5">
        <v>4</v>
      </c>
      <c r="B8" s="9">
        <f>Dashboard!$B$4+A8-1</f>
        <v>46303</v>
      </c>
      <c r="C8" s="5">
        <f t="shared" si="0"/>
        <v>1</v>
      </c>
      <c r="D8" s="11"/>
      <c r="E8" s="10">
        <f>Roadmap!Q8</f>
        <v>3</v>
      </c>
      <c r="F8" s="5">
        <f>COUNTIF(LeetCode!$K$5:$K$400,B8)</f>
        <v>0</v>
      </c>
      <c r="G8" s="26"/>
      <c r="H8" s="8"/>
      <c r="I8" s="8"/>
      <c r="J8" s="5">
        <f t="shared" si="1"/>
        <v>0</v>
      </c>
    </row>
    <row r="9" spans="1:10">
      <c r="A9" s="5">
        <v>5</v>
      </c>
      <c r="B9" s="9">
        <f>Dashboard!$B$4+A9-1</f>
        <v>46304</v>
      </c>
      <c r="C9" s="5">
        <f t="shared" si="0"/>
        <v>1</v>
      </c>
      <c r="D9" s="11"/>
      <c r="E9" s="10">
        <f>Roadmap!Q9</f>
        <v>3</v>
      </c>
      <c r="F9" s="5">
        <f>COUNTIF(LeetCode!$K$5:$K$400,B9)</f>
        <v>0</v>
      </c>
      <c r="G9" s="26"/>
      <c r="H9" s="8"/>
      <c r="I9" s="8"/>
      <c r="J9" s="5">
        <f t="shared" si="1"/>
        <v>0</v>
      </c>
    </row>
    <row r="10" spans="1:10">
      <c r="A10" s="5">
        <v>6</v>
      </c>
      <c r="B10" s="9">
        <f>Dashboard!$B$4+A10-1</f>
        <v>46305</v>
      </c>
      <c r="C10" s="5">
        <f t="shared" si="0"/>
        <v>1</v>
      </c>
      <c r="D10" s="11"/>
      <c r="E10" s="10">
        <f>Roadmap!Q10</f>
        <v>3</v>
      </c>
      <c r="F10" s="5">
        <f>COUNTIF(LeetCode!$K$5:$K$400,B10)</f>
        <v>0</v>
      </c>
      <c r="G10" s="26"/>
      <c r="H10" s="8"/>
      <c r="I10" s="8"/>
      <c r="J10" s="5">
        <f t="shared" si="1"/>
        <v>0</v>
      </c>
    </row>
    <row r="11" spans="1:10">
      <c r="A11" s="5">
        <v>7</v>
      </c>
      <c r="B11" s="9">
        <f>Dashboard!$B$4+A11-1</f>
        <v>46306</v>
      </c>
      <c r="C11" s="5">
        <f t="shared" si="0"/>
        <v>1</v>
      </c>
      <c r="D11" s="11"/>
      <c r="E11" s="10">
        <f>Roadmap!Q11</f>
        <v>3</v>
      </c>
      <c r="F11" s="5">
        <f>COUNTIF(LeetCode!$K$5:$K$400,B11)</f>
        <v>0</v>
      </c>
      <c r="G11" s="26"/>
      <c r="H11" s="8"/>
      <c r="I11" s="8"/>
      <c r="J11" s="5">
        <f t="shared" si="1"/>
        <v>0</v>
      </c>
    </row>
    <row r="12" spans="1:10">
      <c r="A12" s="5">
        <v>8</v>
      </c>
      <c r="B12" s="9">
        <f>Dashboard!$B$4+A12-1</f>
        <v>46307</v>
      </c>
      <c r="C12" s="5">
        <f t="shared" si="0"/>
        <v>2</v>
      </c>
      <c r="D12" s="11"/>
      <c r="E12" s="10">
        <f>Roadmap!Q12</f>
        <v>3</v>
      </c>
      <c r="F12" s="5">
        <f>COUNTIF(LeetCode!$K$5:$K$400,B12)</f>
        <v>0</v>
      </c>
      <c r="G12" s="26"/>
      <c r="H12" s="8"/>
      <c r="I12" s="8"/>
      <c r="J12" s="5">
        <f t="shared" si="1"/>
        <v>0</v>
      </c>
    </row>
    <row r="13" spans="1:10">
      <c r="A13" s="5">
        <v>9</v>
      </c>
      <c r="B13" s="9">
        <f>Dashboard!$B$4+A13-1</f>
        <v>46308</v>
      </c>
      <c r="C13" s="5">
        <f t="shared" si="0"/>
        <v>2</v>
      </c>
      <c r="D13" s="11"/>
      <c r="E13" s="10">
        <f>Roadmap!Q13</f>
        <v>3</v>
      </c>
      <c r="F13" s="5">
        <f>COUNTIF(LeetCode!$K$5:$K$400,B13)</f>
        <v>0</v>
      </c>
      <c r="G13" s="26"/>
      <c r="H13" s="8"/>
      <c r="I13" s="8"/>
      <c r="J13" s="5">
        <f t="shared" si="1"/>
        <v>0</v>
      </c>
    </row>
    <row r="14" spans="1:10">
      <c r="A14" s="5">
        <v>10</v>
      </c>
      <c r="B14" s="9">
        <f>Dashboard!$B$4+A14-1</f>
        <v>46309</v>
      </c>
      <c r="C14" s="5">
        <f t="shared" si="0"/>
        <v>2</v>
      </c>
      <c r="D14" s="11"/>
      <c r="E14" s="10">
        <f>Roadmap!Q14</f>
        <v>3</v>
      </c>
      <c r="F14" s="5">
        <f>COUNTIF(LeetCode!$K$5:$K$400,B14)</f>
        <v>0</v>
      </c>
      <c r="G14" s="26"/>
      <c r="H14" s="8"/>
      <c r="I14" s="8"/>
      <c r="J14" s="5">
        <f t="shared" si="1"/>
        <v>0</v>
      </c>
    </row>
    <row r="15" spans="1:10">
      <c r="A15" s="5">
        <v>11</v>
      </c>
      <c r="B15" s="9">
        <f>Dashboard!$B$4+A15-1</f>
        <v>46310</v>
      </c>
      <c r="C15" s="5">
        <f t="shared" si="0"/>
        <v>2</v>
      </c>
      <c r="D15" s="11"/>
      <c r="E15" s="10">
        <f>Roadmap!Q15</f>
        <v>3</v>
      </c>
      <c r="F15" s="5">
        <f>COUNTIF(LeetCode!$K$5:$K$400,B15)</f>
        <v>0</v>
      </c>
      <c r="G15" s="26"/>
      <c r="H15" s="8"/>
      <c r="I15" s="8"/>
      <c r="J15" s="5">
        <f t="shared" si="1"/>
        <v>0</v>
      </c>
    </row>
    <row r="16" spans="1:10">
      <c r="A16" s="5">
        <v>12</v>
      </c>
      <c r="B16" s="9">
        <f>Dashboard!$B$4+A16-1</f>
        <v>46311</v>
      </c>
      <c r="C16" s="5">
        <f t="shared" si="0"/>
        <v>2</v>
      </c>
      <c r="D16" s="11"/>
      <c r="E16" s="10">
        <f>Roadmap!Q16</f>
        <v>3</v>
      </c>
      <c r="F16" s="5">
        <f>COUNTIF(LeetCode!$K$5:$K$400,B16)</f>
        <v>0</v>
      </c>
      <c r="G16" s="26"/>
      <c r="H16" s="8"/>
      <c r="I16" s="8"/>
      <c r="J16" s="5">
        <f t="shared" si="1"/>
        <v>0</v>
      </c>
    </row>
    <row r="17" spans="1:10">
      <c r="A17" s="5">
        <v>13</v>
      </c>
      <c r="B17" s="9">
        <f>Dashboard!$B$4+A17-1</f>
        <v>46312</v>
      </c>
      <c r="C17" s="5">
        <f t="shared" si="0"/>
        <v>2</v>
      </c>
      <c r="D17" s="11"/>
      <c r="E17" s="10">
        <f>Roadmap!Q17</f>
        <v>3</v>
      </c>
      <c r="F17" s="5">
        <f>COUNTIF(LeetCode!$K$5:$K$400,B17)</f>
        <v>0</v>
      </c>
      <c r="G17" s="26"/>
      <c r="H17" s="8"/>
      <c r="I17" s="8"/>
      <c r="J17" s="5">
        <f t="shared" si="1"/>
        <v>0</v>
      </c>
    </row>
    <row r="18" spans="1:10">
      <c r="A18" s="5">
        <v>14</v>
      </c>
      <c r="B18" s="9">
        <f>Dashboard!$B$4+A18-1</f>
        <v>46313</v>
      </c>
      <c r="C18" s="5">
        <f t="shared" si="0"/>
        <v>2</v>
      </c>
      <c r="D18" s="11"/>
      <c r="E18" s="10">
        <f>Roadmap!Q18</f>
        <v>3</v>
      </c>
      <c r="F18" s="5">
        <f>COUNTIF(LeetCode!$K$5:$K$400,B18)</f>
        <v>0</v>
      </c>
      <c r="G18" s="26"/>
      <c r="H18" s="8"/>
      <c r="I18" s="8"/>
      <c r="J18" s="5">
        <f t="shared" si="1"/>
        <v>0</v>
      </c>
    </row>
    <row r="19" spans="1:10">
      <c r="A19" s="5">
        <v>15</v>
      </c>
      <c r="B19" s="9">
        <f>Dashboard!$B$4+A19-1</f>
        <v>46314</v>
      </c>
      <c r="C19" s="5">
        <f t="shared" si="0"/>
        <v>3</v>
      </c>
      <c r="D19" s="11"/>
      <c r="E19" s="10">
        <f>Roadmap!Q19</f>
        <v>3</v>
      </c>
      <c r="F19" s="5">
        <f>COUNTIF(LeetCode!$K$5:$K$400,B19)</f>
        <v>0</v>
      </c>
      <c r="G19" s="26"/>
      <c r="H19" s="8"/>
      <c r="I19" s="8"/>
      <c r="J19" s="5">
        <f t="shared" si="1"/>
        <v>0</v>
      </c>
    </row>
    <row r="20" spans="1:10">
      <c r="A20" s="5">
        <v>16</v>
      </c>
      <c r="B20" s="9">
        <f>Dashboard!$B$4+A20-1</f>
        <v>46315</v>
      </c>
      <c r="C20" s="5">
        <f t="shared" si="0"/>
        <v>3</v>
      </c>
      <c r="D20" s="11"/>
      <c r="E20" s="10">
        <f>Roadmap!Q20</f>
        <v>3</v>
      </c>
      <c r="F20" s="5">
        <f>COUNTIF(LeetCode!$K$5:$K$400,B20)</f>
        <v>0</v>
      </c>
      <c r="G20" s="26"/>
      <c r="H20" s="8"/>
      <c r="I20" s="8"/>
      <c r="J20" s="5">
        <f t="shared" si="1"/>
        <v>0</v>
      </c>
    </row>
    <row r="21" spans="1:10">
      <c r="A21" s="5">
        <v>17</v>
      </c>
      <c r="B21" s="9">
        <f>Dashboard!$B$4+A21-1</f>
        <v>46316</v>
      </c>
      <c r="C21" s="5">
        <f t="shared" si="0"/>
        <v>3</v>
      </c>
      <c r="D21" s="11"/>
      <c r="E21" s="10">
        <f>Roadmap!Q21</f>
        <v>3</v>
      </c>
      <c r="F21" s="5">
        <f>COUNTIF(LeetCode!$K$5:$K$400,B21)</f>
        <v>0</v>
      </c>
      <c r="G21" s="26"/>
      <c r="H21" s="8"/>
      <c r="I21" s="8"/>
      <c r="J21" s="5">
        <f t="shared" si="1"/>
        <v>0</v>
      </c>
    </row>
    <row r="22" spans="1:10">
      <c r="A22" s="5">
        <v>18</v>
      </c>
      <c r="B22" s="9">
        <f>Dashboard!$B$4+A22-1</f>
        <v>46317</v>
      </c>
      <c r="C22" s="5">
        <f t="shared" si="0"/>
        <v>3</v>
      </c>
      <c r="D22" s="11"/>
      <c r="E22" s="10">
        <f>Roadmap!Q22</f>
        <v>3</v>
      </c>
      <c r="F22" s="5">
        <f>COUNTIF(LeetCode!$K$5:$K$400,B22)</f>
        <v>0</v>
      </c>
      <c r="G22" s="26"/>
      <c r="H22" s="8"/>
      <c r="I22" s="8"/>
      <c r="J22" s="5">
        <f t="shared" si="1"/>
        <v>0</v>
      </c>
    </row>
    <row r="23" spans="1:10">
      <c r="A23" s="5">
        <v>19</v>
      </c>
      <c r="B23" s="9">
        <f>Dashboard!$B$4+A23-1</f>
        <v>46318</v>
      </c>
      <c r="C23" s="5">
        <f t="shared" si="0"/>
        <v>3</v>
      </c>
      <c r="D23" s="11"/>
      <c r="E23" s="10">
        <f>Roadmap!Q23</f>
        <v>3</v>
      </c>
      <c r="F23" s="5">
        <f>COUNTIF(LeetCode!$K$5:$K$400,B23)</f>
        <v>0</v>
      </c>
      <c r="G23" s="26"/>
      <c r="H23" s="8"/>
      <c r="I23" s="8"/>
      <c r="J23" s="5">
        <f t="shared" si="1"/>
        <v>0</v>
      </c>
    </row>
    <row r="24" spans="1:10">
      <c r="A24" s="5">
        <v>20</v>
      </c>
      <c r="B24" s="9">
        <f>Dashboard!$B$4+A24-1</f>
        <v>46319</v>
      </c>
      <c r="C24" s="5">
        <f t="shared" si="0"/>
        <v>3</v>
      </c>
      <c r="D24" s="11"/>
      <c r="E24" s="10">
        <f>Roadmap!Q24</f>
        <v>3</v>
      </c>
      <c r="F24" s="5">
        <f>COUNTIF(LeetCode!$K$5:$K$400,B24)</f>
        <v>0</v>
      </c>
      <c r="G24" s="26"/>
      <c r="H24" s="8"/>
      <c r="I24" s="8"/>
      <c r="J24" s="5">
        <f t="shared" si="1"/>
        <v>0</v>
      </c>
    </row>
    <row r="25" spans="1:10">
      <c r="A25" s="5">
        <v>21</v>
      </c>
      <c r="B25" s="9">
        <f>Dashboard!$B$4+A25-1</f>
        <v>46320</v>
      </c>
      <c r="C25" s="5">
        <f t="shared" si="0"/>
        <v>3</v>
      </c>
      <c r="D25" s="11"/>
      <c r="E25" s="10">
        <f>Roadmap!Q25</f>
        <v>3</v>
      </c>
      <c r="F25" s="5">
        <f>COUNTIF(LeetCode!$K$5:$K$400,B25)</f>
        <v>0</v>
      </c>
      <c r="G25" s="26"/>
      <c r="H25" s="8"/>
      <c r="I25" s="8"/>
      <c r="J25" s="5">
        <f t="shared" si="1"/>
        <v>0</v>
      </c>
    </row>
    <row r="26" spans="1:10">
      <c r="A26" s="5">
        <v>22</v>
      </c>
      <c r="B26" s="9">
        <f>Dashboard!$B$4+A26-1</f>
        <v>46321</v>
      </c>
      <c r="C26" s="5">
        <f t="shared" si="0"/>
        <v>4</v>
      </c>
      <c r="D26" s="11"/>
      <c r="E26" s="10">
        <f>Roadmap!Q26</f>
        <v>3</v>
      </c>
      <c r="F26" s="5">
        <f>COUNTIF(LeetCode!$K$5:$K$400,B26)</f>
        <v>0</v>
      </c>
      <c r="G26" s="26"/>
      <c r="H26" s="8"/>
      <c r="I26" s="8"/>
      <c r="J26" s="5">
        <f t="shared" si="1"/>
        <v>0</v>
      </c>
    </row>
    <row r="27" spans="1:10">
      <c r="A27" s="5">
        <v>23</v>
      </c>
      <c r="B27" s="9">
        <f>Dashboard!$B$4+A27-1</f>
        <v>46322</v>
      </c>
      <c r="C27" s="5">
        <f t="shared" si="0"/>
        <v>4</v>
      </c>
      <c r="D27" s="11"/>
      <c r="E27" s="10">
        <f>Roadmap!Q27</f>
        <v>3</v>
      </c>
      <c r="F27" s="5">
        <f>COUNTIF(LeetCode!$K$5:$K$400,B27)</f>
        <v>0</v>
      </c>
      <c r="G27" s="26"/>
      <c r="H27" s="8"/>
      <c r="I27" s="8"/>
      <c r="J27" s="5">
        <f t="shared" si="1"/>
        <v>0</v>
      </c>
    </row>
    <row r="28" spans="1:10">
      <c r="A28" s="5">
        <v>24</v>
      </c>
      <c r="B28" s="9">
        <f>Dashboard!$B$4+A28-1</f>
        <v>46323</v>
      </c>
      <c r="C28" s="5">
        <f t="shared" si="0"/>
        <v>4</v>
      </c>
      <c r="D28" s="11"/>
      <c r="E28" s="10">
        <f>Roadmap!Q28</f>
        <v>3</v>
      </c>
      <c r="F28" s="5">
        <f>COUNTIF(LeetCode!$K$5:$K$400,B28)</f>
        <v>0</v>
      </c>
      <c r="G28" s="26"/>
      <c r="H28" s="8"/>
      <c r="I28" s="8"/>
      <c r="J28" s="5">
        <f t="shared" si="1"/>
        <v>0</v>
      </c>
    </row>
    <row r="29" spans="1:10">
      <c r="A29" s="5">
        <v>25</v>
      </c>
      <c r="B29" s="9">
        <f>Dashboard!$B$4+A29-1</f>
        <v>46324</v>
      </c>
      <c r="C29" s="5">
        <f t="shared" si="0"/>
        <v>4</v>
      </c>
      <c r="D29" s="11"/>
      <c r="E29" s="10">
        <f>Roadmap!Q29</f>
        <v>3</v>
      </c>
      <c r="F29" s="5">
        <f>COUNTIF(LeetCode!$K$5:$K$400,B29)</f>
        <v>0</v>
      </c>
      <c r="G29" s="26"/>
      <c r="H29" s="8"/>
      <c r="I29" s="8"/>
      <c r="J29" s="5">
        <f t="shared" si="1"/>
        <v>0</v>
      </c>
    </row>
    <row r="30" spans="1:10">
      <c r="A30" s="5">
        <v>26</v>
      </c>
      <c r="B30" s="9">
        <f>Dashboard!$B$4+A30-1</f>
        <v>46325</v>
      </c>
      <c r="C30" s="5">
        <f t="shared" si="0"/>
        <v>4</v>
      </c>
      <c r="D30" s="11"/>
      <c r="E30" s="10">
        <f>Roadmap!Q30</f>
        <v>3</v>
      </c>
      <c r="F30" s="5">
        <f>COUNTIF(LeetCode!$K$5:$K$400,B30)</f>
        <v>0</v>
      </c>
      <c r="G30" s="26"/>
      <c r="H30" s="8"/>
      <c r="I30" s="8"/>
      <c r="J30" s="5">
        <f t="shared" si="1"/>
        <v>0</v>
      </c>
    </row>
    <row r="31" spans="1:10">
      <c r="A31" s="5">
        <v>27</v>
      </c>
      <c r="B31" s="9">
        <f>Dashboard!$B$4+A31-1</f>
        <v>46326</v>
      </c>
      <c r="C31" s="5">
        <f t="shared" si="0"/>
        <v>4</v>
      </c>
      <c r="D31" s="11"/>
      <c r="E31" s="10">
        <f>Roadmap!Q31</f>
        <v>3</v>
      </c>
      <c r="F31" s="5">
        <f>COUNTIF(LeetCode!$K$5:$K$400,B31)</f>
        <v>0</v>
      </c>
      <c r="G31" s="26"/>
      <c r="H31" s="8"/>
      <c r="I31" s="8"/>
      <c r="J31" s="5">
        <f t="shared" si="1"/>
        <v>0</v>
      </c>
    </row>
    <row r="32" spans="1:10">
      <c r="A32" s="5">
        <v>28</v>
      </c>
      <c r="B32" s="9">
        <f>Dashboard!$B$4+A32-1</f>
        <v>46327</v>
      </c>
      <c r="C32" s="5">
        <f t="shared" si="0"/>
        <v>4</v>
      </c>
      <c r="D32" s="11"/>
      <c r="E32" s="10">
        <f>Roadmap!Q32</f>
        <v>3</v>
      </c>
      <c r="F32" s="5">
        <f>COUNTIF(LeetCode!$K$5:$K$400,B32)</f>
        <v>0</v>
      </c>
      <c r="G32" s="26"/>
      <c r="H32" s="8"/>
      <c r="I32" s="8"/>
      <c r="J32" s="5">
        <f t="shared" si="1"/>
        <v>0</v>
      </c>
    </row>
    <row r="33" spans="1:10">
      <c r="A33" s="5">
        <v>29</v>
      </c>
      <c r="B33" s="9">
        <f>Dashboard!$B$4+A33-1</f>
        <v>46328</v>
      </c>
      <c r="C33" s="5">
        <f t="shared" si="0"/>
        <v>5</v>
      </c>
      <c r="D33" s="11"/>
      <c r="E33" s="10">
        <f>Roadmap!Q33</f>
        <v>3</v>
      </c>
      <c r="F33" s="5">
        <f>COUNTIF(LeetCode!$K$5:$K$400,B33)</f>
        <v>0</v>
      </c>
      <c r="G33" s="26"/>
      <c r="H33" s="8"/>
      <c r="I33" s="8"/>
      <c r="J33" s="5">
        <f t="shared" si="1"/>
        <v>0</v>
      </c>
    </row>
    <row r="34" spans="1:10">
      <c r="A34" s="5">
        <v>30</v>
      </c>
      <c r="B34" s="9">
        <f>Dashboard!$B$4+A34-1</f>
        <v>46329</v>
      </c>
      <c r="C34" s="5">
        <f t="shared" si="0"/>
        <v>5</v>
      </c>
      <c r="D34" s="11"/>
      <c r="E34" s="10">
        <f>Roadmap!Q34</f>
        <v>3</v>
      </c>
      <c r="F34" s="5">
        <f>COUNTIF(LeetCode!$K$5:$K$400,B34)</f>
        <v>0</v>
      </c>
      <c r="G34" s="26"/>
      <c r="H34" s="8"/>
      <c r="I34" s="8"/>
      <c r="J34" s="5">
        <f t="shared" si="1"/>
        <v>0</v>
      </c>
    </row>
    <row r="35" spans="1:10">
      <c r="A35" s="5">
        <v>31</v>
      </c>
      <c r="B35" s="9">
        <f>Dashboard!$B$4+A35-1</f>
        <v>46330</v>
      </c>
      <c r="C35" s="5">
        <f t="shared" si="0"/>
        <v>5</v>
      </c>
      <c r="D35" s="11"/>
      <c r="E35" s="10">
        <f>Roadmap!Q35</f>
        <v>3</v>
      </c>
      <c r="F35" s="5">
        <f>COUNTIF(LeetCode!$K$5:$K$400,B35)</f>
        <v>0</v>
      </c>
      <c r="G35" s="26"/>
      <c r="H35" s="8"/>
      <c r="I35" s="8"/>
      <c r="J35" s="5">
        <f t="shared" si="1"/>
        <v>0</v>
      </c>
    </row>
    <row r="36" spans="1:10">
      <c r="A36" s="5">
        <v>32</v>
      </c>
      <c r="B36" s="9">
        <f>Dashboard!$B$4+A36-1</f>
        <v>46331</v>
      </c>
      <c r="C36" s="5">
        <f t="shared" si="0"/>
        <v>5</v>
      </c>
      <c r="D36" s="11"/>
      <c r="E36" s="10">
        <f>Roadmap!Q36</f>
        <v>3</v>
      </c>
      <c r="F36" s="5">
        <f>COUNTIF(LeetCode!$K$5:$K$400,B36)</f>
        <v>0</v>
      </c>
      <c r="G36" s="26"/>
      <c r="H36" s="8"/>
      <c r="I36" s="8"/>
      <c r="J36" s="5">
        <f t="shared" si="1"/>
        <v>0</v>
      </c>
    </row>
    <row r="37" spans="1:10">
      <c r="A37" s="5">
        <v>33</v>
      </c>
      <c r="B37" s="9">
        <f>Dashboard!$B$4+A37-1</f>
        <v>46332</v>
      </c>
      <c r="C37" s="5">
        <f t="shared" ref="C37:C68" si="2">INT((A37-1)/7)+1</f>
        <v>5</v>
      </c>
      <c r="D37" s="11"/>
      <c r="E37" s="10">
        <f>Roadmap!Q37</f>
        <v>3</v>
      </c>
      <c r="F37" s="5">
        <f>COUNTIF(LeetCode!$K$5:$K$400,B37)</f>
        <v>0</v>
      </c>
      <c r="G37" s="26"/>
      <c r="H37" s="8"/>
      <c r="I37" s="8"/>
      <c r="J37" s="5">
        <f t="shared" si="1"/>
        <v>0</v>
      </c>
    </row>
    <row r="38" spans="1:10">
      <c r="A38" s="5">
        <v>34</v>
      </c>
      <c r="B38" s="9">
        <f>Dashboard!$B$4+A38-1</f>
        <v>46333</v>
      </c>
      <c r="C38" s="5">
        <f t="shared" si="2"/>
        <v>5</v>
      </c>
      <c r="D38" s="11"/>
      <c r="E38" s="10">
        <f>Roadmap!Q38</f>
        <v>3</v>
      </c>
      <c r="F38" s="5">
        <f>COUNTIF(LeetCode!$K$5:$K$400,B38)</f>
        <v>0</v>
      </c>
      <c r="G38" s="26"/>
      <c r="H38" s="8"/>
      <c r="I38" s="8"/>
      <c r="J38" s="5">
        <f t="shared" ref="J38:J69" si="3">IF(D38&gt;0,J37+1,0)</f>
        <v>0</v>
      </c>
    </row>
    <row r="39" spans="1:10">
      <c r="A39" s="5">
        <v>35</v>
      </c>
      <c r="B39" s="9">
        <f>Dashboard!$B$4+A39-1</f>
        <v>46334</v>
      </c>
      <c r="C39" s="5">
        <f t="shared" si="2"/>
        <v>5</v>
      </c>
      <c r="D39" s="11"/>
      <c r="E39" s="10">
        <f>Roadmap!Q39</f>
        <v>3</v>
      </c>
      <c r="F39" s="5">
        <f>COUNTIF(LeetCode!$K$5:$K$400,B39)</f>
        <v>0</v>
      </c>
      <c r="G39" s="26"/>
      <c r="H39" s="8"/>
      <c r="I39" s="8"/>
      <c r="J39" s="5">
        <f t="shared" si="3"/>
        <v>0</v>
      </c>
    </row>
    <row r="40" spans="1:10">
      <c r="A40" s="5">
        <v>36</v>
      </c>
      <c r="B40" s="9">
        <f>Dashboard!$B$4+A40-1</f>
        <v>46335</v>
      </c>
      <c r="C40" s="5">
        <f t="shared" si="2"/>
        <v>6</v>
      </c>
      <c r="D40" s="11"/>
      <c r="E40" s="10">
        <f>Roadmap!Q40</f>
        <v>3</v>
      </c>
      <c r="F40" s="5">
        <f>COUNTIF(LeetCode!$K$5:$K$400,B40)</f>
        <v>0</v>
      </c>
      <c r="G40" s="26"/>
      <c r="H40" s="8"/>
      <c r="I40" s="8"/>
      <c r="J40" s="5">
        <f t="shared" si="3"/>
        <v>0</v>
      </c>
    </row>
    <row r="41" spans="1:10">
      <c r="A41" s="5">
        <v>37</v>
      </c>
      <c r="B41" s="9">
        <f>Dashboard!$B$4+A41-1</f>
        <v>46336</v>
      </c>
      <c r="C41" s="5">
        <f t="shared" si="2"/>
        <v>6</v>
      </c>
      <c r="D41" s="11"/>
      <c r="E41" s="10">
        <f>Roadmap!Q41</f>
        <v>3</v>
      </c>
      <c r="F41" s="5">
        <f>COUNTIF(LeetCode!$K$5:$K$400,B41)</f>
        <v>0</v>
      </c>
      <c r="G41" s="26"/>
      <c r="H41" s="8"/>
      <c r="I41" s="8"/>
      <c r="J41" s="5">
        <f t="shared" si="3"/>
        <v>0</v>
      </c>
    </row>
    <row r="42" spans="1:10">
      <c r="A42" s="5">
        <v>38</v>
      </c>
      <c r="B42" s="9">
        <f>Dashboard!$B$4+A42-1</f>
        <v>46337</v>
      </c>
      <c r="C42" s="5">
        <f t="shared" si="2"/>
        <v>6</v>
      </c>
      <c r="D42" s="11"/>
      <c r="E42" s="10">
        <f>Roadmap!Q42</f>
        <v>3</v>
      </c>
      <c r="F42" s="5">
        <f>COUNTIF(LeetCode!$K$5:$K$400,B42)</f>
        <v>0</v>
      </c>
      <c r="G42" s="26"/>
      <c r="H42" s="8"/>
      <c r="I42" s="8"/>
      <c r="J42" s="5">
        <f t="shared" si="3"/>
        <v>0</v>
      </c>
    </row>
    <row r="43" spans="1:10">
      <c r="A43" s="5">
        <v>39</v>
      </c>
      <c r="B43" s="9">
        <f>Dashboard!$B$4+A43-1</f>
        <v>46338</v>
      </c>
      <c r="C43" s="5">
        <f t="shared" si="2"/>
        <v>6</v>
      </c>
      <c r="D43" s="11"/>
      <c r="E43" s="10">
        <f>Roadmap!Q43</f>
        <v>3</v>
      </c>
      <c r="F43" s="5">
        <f>COUNTIF(LeetCode!$K$5:$K$400,B43)</f>
        <v>0</v>
      </c>
      <c r="G43" s="26"/>
      <c r="H43" s="8"/>
      <c r="I43" s="8"/>
      <c r="J43" s="5">
        <f t="shared" si="3"/>
        <v>0</v>
      </c>
    </row>
    <row r="44" spans="1:10">
      <c r="A44" s="5">
        <v>40</v>
      </c>
      <c r="B44" s="9">
        <f>Dashboard!$B$4+A44-1</f>
        <v>46339</v>
      </c>
      <c r="C44" s="5">
        <f t="shared" si="2"/>
        <v>6</v>
      </c>
      <c r="D44" s="11"/>
      <c r="E44" s="10">
        <f>Roadmap!Q44</f>
        <v>3</v>
      </c>
      <c r="F44" s="5">
        <f>COUNTIF(LeetCode!$K$5:$K$400,B44)</f>
        <v>0</v>
      </c>
      <c r="G44" s="26"/>
      <c r="H44" s="8"/>
      <c r="I44" s="8"/>
      <c r="J44" s="5">
        <f t="shared" si="3"/>
        <v>0</v>
      </c>
    </row>
    <row r="45" spans="1:10">
      <c r="A45" s="5">
        <v>41</v>
      </c>
      <c r="B45" s="9">
        <f>Dashboard!$B$4+A45-1</f>
        <v>46340</v>
      </c>
      <c r="C45" s="5">
        <f t="shared" si="2"/>
        <v>6</v>
      </c>
      <c r="D45" s="11"/>
      <c r="E45" s="10">
        <f>Roadmap!Q45</f>
        <v>3</v>
      </c>
      <c r="F45" s="5">
        <f>COUNTIF(LeetCode!$K$5:$K$400,B45)</f>
        <v>0</v>
      </c>
      <c r="G45" s="26"/>
      <c r="H45" s="8"/>
      <c r="I45" s="8"/>
      <c r="J45" s="5">
        <f t="shared" si="3"/>
        <v>0</v>
      </c>
    </row>
    <row r="46" spans="1:10">
      <c r="A46" s="5">
        <v>42</v>
      </c>
      <c r="B46" s="9">
        <f>Dashboard!$B$4+A46-1</f>
        <v>46341</v>
      </c>
      <c r="C46" s="5">
        <f t="shared" si="2"/>
        <v>6</v>
      </c>
      <c r="D46" s="11"/>
      <c r="E46" s="10">
        <f>Roadmap!Q46</f>
        <v>3</v>
      </c>
      <c r="F46" s="5">
        <f>COUNTIF(LeetCode!$K$5:$K$400,B46)</f>
        <v>0</v>
      </c>
      <c r="G46" s="26"/>
      <c r="H46" s="8"/>
      <c r="I46" s="8"/>
      <c r="J46" s="5">
        <f t="shared" si="3"/>
        <v>0</v>
      </c>
    </row>
    <row r="47" spans="1:10">
      <c r="A47" s="5">
        <v>43</v>
      </c>
      <c r="B47" s="9">
        <f>Dashboard!$B$4+A47-1</f>
        <v>46342</v>
      </c>
      <c r="C47" s="5">
        <f t="shared" si="2"/>
        <v>7</v>
      </c>
      <c r="D47" s="11"/>
      <c r="E47" s="10">
        <f>Roadmap!Q47</f>
        <v>3</v>
      </c>
      <c r="F47" s="5">
        <f>COUNTIF(LeetCode!$K$5:$K$400,B47)</f>
        <v>0</v>
      </c>
      <c r="G47" s="26"/>
      <c r="H47" s="8"/>
      <c r="I47" s="8"/>
      <c r="J47" s="5">
        <f t="shared" si="3"/>
        <v>0</v>
      </c>
    </row>
    <row r="48" spans="1:10">
      <c r="A48" s="5">
        <v>44</v>
      </c>
      <c r="B48" s="9">
        <f>Dashboard!$B$4+A48-1</f>
        <v>46343</v>
      </c>
      <c r="C48" s="5">
        <f t="shared" si="2"/>
        <v>7</v>
      </c>
      <c r="D48" s="11"/>
      <c r="E48" s="10">
        <f>Roadmap!Q48</f>
        <v>3</v>
      </c>
      <c r="F48" s="5">
        <f>COUNTIF(LeetCode!$K$5:$K$400,B48)</f>
        <v>0</v>
      </c>
      <c r="G48" s="26"/>
      <c r="H48" s="8"/>
      <c r="I48" s="8"/>
      <c r="J48" s="5">
        <f t="shared" si="3"/>
        <v>0</v>
      </c>
    </row>
    <row r="49" spans="1:10">
      <c r="A49" s="5">
        <v>45</v>
      </c>
      <c r="B49" s="9">
        <f>Dashboard!$B$4+A49-1</f>
        <v>46344</v>
      </c>
      <c r="C49" s="5">
        <f t="shared" si="2"/>
        <v>7</v>
      </c>
      <c r="D49" s="11"/>
      <c r="E49" s="10">
        <f>Roadmap!Q49</f>
        <v>3</v>
      </c>
      <c r="F49" s="5">
        <f>COUNTIF(LeetCode!$K$5:$K$400,B49)</f>
        <v>0</v>
      </c>
      <c r="G49" s="26"/>
      <c r="H49" s="8"/>
      <c r="I49" s="8"/>
      <c r="J49" s="5">
        <f t="shared" si="3"/>
        <v>0</v>
      </c>
    </row>
    <row r="50" spans="1:10">
      <c r="A50" s="5">
        <v>46</v>
      </c>
      <c r="B50" s="9">
        <f>Dashboard!$B$4+A50-1</f>
        <v>46345</v>
      </c>
      <c r="C50" s="5">
        <f t="shared" si="2"/>
        <v>7</v>
      </c>
      <c r="D50" s="11"/>
      <c r="E50" s="10">
        <f>Roadmap!Q50</f>
        <v>3</v>
      </c>
      <c r="F50" s="5">
        <f>COUNTIF(LeetCode!$K$5:$K$400,B50)</f>
        <v>0</v>
      </c>
      <c r="G50" s="26"/>
      <c r="H50" s="8"/>
      <c r="I50" s="8"/>
      <c r="J50" s="5">
        <f t="shared" si="3"/>
        <v>0</v>
      </c>
    </row>
    <row r="51" spans="1:10">
      <c r="A51" s="5">
        <v>47</v>
      </c>
      <c r="B51" s="9">
        <f>Dashboard!$B$4+A51-1</f>
        <v>46346</v>
      </c>
      <c r="C51" s="5">
        <f t="shared" si="2"/>
        <v>7</v>
      </c>
      <c r="D51" s="11"/>
      <c r="E51" s="10">
        <f>Roadmap!Q51</f>
        <v>3</v>
      </c>
      <c r="F51" s="5">
        <f>COUNTIF(LeetCode!$K$5:$K$400,B51)</f>
        <v>0</v>
      </c>
      <c r="G51" s="26"/>
      <c r="H51" s="8"/>
      <c r="I51" s="8"/>
      <c r="J51" s="5">
        <f t="shared" si="3"/>
        <v>0</v>
      </c>
    </row>
    <row r="52" spans="1:10">
      <c r="A52" s="5">
        <v>48</v>
      </c>
      <c r="B52" s="9">
        <f>Dashboard!$B$4+A52-1</f>
        <v>46347</v>
      </c>
      <c r="C52" s="5">
        <f t="shared" si="2"/>
        <v>7</v>
      </c>
      <c r="D52" s="11"/>
      <c r="E52" s="10">
        <f>Roadmap!Q52</f>
        <v>3</v>
      </c>
      <c r="F52" s="5">
        <f>COUNTIF(LeetCode!$K$5:$K$400,B52)</f>
        <v>0</v>
      </c>
      <c r="G52" s="26"/>
      <c r="H52" s="8"/>
      <c r="I52" s="8"/>
      <c r="J52" s="5">
        <f t="shared" si="3"/>
        <v>0</v>
      </c>
    </row>
    <row r="53" spans="1:10">
      <c r="A53" s="5">
        <v>49</v>
      </c>
      <c r="B53" s="9">
        <f>Dashboard!$B$4+A53-1</f>
        <v>46348</v>
      </c>
      <c r="C53" s="5">
        <f t="shared" si="2"/>
        <v>7</v>
      </c>
      <c r="D53" s="11"/>
      <c r="E53" s="10">
        <f>Roadmap!Q53</f>
        <v>3</v>
      </c>
      <c r="F53" s="5">
        <f>COUNTIF(LeetCode!$K$5:$K$400,B53)</f>
        <v>0</v>
      </c>
      <c r="G53" s="26"/>
      <c r="H53" s="8"/>
      <c r="I53" s="8"/>
      <c r="J53" s="5">
        <f t="shared" si="3"/>
        <v>0</v>
      </c>
    </row>
    <row r="54" spans="1:10">
      <c r="A54" s="5">
        <v>50</v>
      </c>
      <c r="B54" s="9">
        <f>Dashboard!$B$4+A54-1</f>
        <v>46349</v>
      </c>
      <c r="C54" s="5">
        <f t="shared" si="2"/>
        <v>8</v>
      </c>
      <c r="D54" s="11"/>
      <c r="E54" s="10">
        <f>Roadmap!Q54</f>
        <v>3</v>
      </c>
      <c r="F54" s="5">
        <f>COUNTIF(LeetCode!$K$5:$K$400,B54)</f>
        <v>0</v>
      </c>
      <c r="G54" s="26"/>
      <c r="H54" s="8"/>
      <c r="I54" s="8"/>
      <c r="J54" s="5">
        <f t="shared" si="3"/>
        <v>0</v>
      </c>
    </row>
    <row r="55" spans="1:10">
      <c r="A55" s="5">
        <v>51</v>
      </c>
      <c r="B55" s="9">
        <f>Dashboard!$B$4+A55-1</f>
        <v>46350</v>
      </c>
      <c r="C55" s="5">
        <f t="shared" si="2"/>
        <v>8</v>
      </c>
      <c r="D55" s="11"/>
      <c r="E55" s="10">
        <f>Roadmap!Q55</f>
        <v>3</v>
      </c>
      <c r="F55" s="5">
        <f>COUNTIF(LeetCode!$K$5:$K$400,B55)</f>
        <v>0</v>
      </c>
      <c r="G55" s="26"/>
      <c r="H55" s="8"/>
      <c r="I55" s="8"/>
      <c r="J55" s="5">
        <f t="shared" si="3"/>
        <v>0</v>
      </c>
    </row>
    <row r="56" spans="1:10">
      <c r="A56" s="5">
        <v>52</v>
      </c>
      <c r="B56" s="9">
        <f>Dashboard!$B$4+A56-1</f>
        <v>46351</v>
      </c>
      <c r="C56" s="5">
        <f t="shared" si="2"/>
        <v>8</v>
      </c>
      <c r="D56" s="11"/>
      <c r="E56" s="10">
        <f>Roadmap!Q56</f>
        <v>3</v>
      </c>
      <c r="F56" s="5">
        <f>COUNTIF(LeetCode!$K$5:$K$400,B56)</f>
        <v>0</v>
      </c>
      <c r="G56" s="26"/>
      <c r="H56" s="8"/>
      <c r="I56" s="8"/>
      <c r="J56" s="5">
        <f t="shared" si="3"/>
        <v>0</v>
      </c>
    </row>
    <row r="57" spans="1:10">
      <c r="A57" s="5">
        <v>53</v>
      </c>
      <c r="B57" s="9">
        <f>Dashboard!$B$4+A57-1</f>
        <v>46352</v>
      </c>
      <c r="C57" s="5">
        <f t="shared" si="2"/>
        <v>8</v>
      </c>
      <c r="D57" s="11"/>
      <c r="E57" s="10">
        <f>Roadmap!Q57</f>
        <v>3</v>
      </c>
      <c r="F57" s="5">
        <f>COUNTIF(LeetCode!$K$5:$K$400,B57)</f>
        <v>0</v>
      </c>
      <c r="G57" s="26"/>
      <c r="H57" s="8"/>
      <c r="I57" s="8"/>
      <c r="J57" s="5">
        <f t="shared" si="3"/>
        <v>0</v>
      </c>
    </row>
    <row r="58" spans="1:10">
      <c r="A58" s="5">
        <v>54</v>
      </c>
      <c r="B58" s="9">
        <f>Dashboard!$B$4+A58-1</f>
        <v>46353</v>
      </c>
      <c r="C58" s="5">
        <f t="shared" si="2"/>
        <v>8</v>
      </c>
      <c r="D58" s="11"/>
      <c r="E58" s="10">
        <f>Roadmap!Q58</f>
        <v>3</v>
      </c>
      <c r="F58" s="5">
        <f>COUNTIF(LeetCode!$K$5:$K$400,B58)</f>
        <v>0</v>
      </c>
      <c r="G58" s="26"/>
      <c r="H58" s="8"/>
      <c r="I58" s="8"/>
      <c r="J58" s="5">
        <f t="shared" si="3"/>
        <v>0</v>
      </c>
    </row>
    <row r="59" spans="1:10">
      <c r="A59" s="5">
        <v>55</v>
      </c>
      <c r="B59" s="9">
        <f>Dashboard!$B$4+A59-1</f>
        <v>46354</v>
      </c>
      <c r="C59" s="5">
        <f t="shared" si="2"/>
        <v>8</v>
      </c>
      <c r="D59" s="11"/>
      <c r="E59" s="10">
        <f>Roadmap!Q59</f>
        <v>3</v>
      </c>
      <c r="F59" s="5">
        <f>COUNTIF(LeetCode!$K$5:$K$400,B59)</f>
        <v>0</v>
      </c>
      <c r="G59" s="26"/>
      <c r="H59" s="8"/>
      <c r="I59" s="8"/>
      <c r="J59" s="5">
        <f t="shared" si="3"/>
        <v>0</v>
      </c>
    </row>
    <row r="60" spans="1:10">
      <c r="A60" s="5">
        <v>56</v>
      </c>
      <c r="B60" s="9">
        <f>Dashboard!$B$4+A60-1</f>
        <v>46355</v>
      </c>
      <c r="C60" s="5">
        <f t="shared" si="2"/>
        <v>8</v>
      </c>
      <c r="D60" s="11"/>
      <c r="E60" s="10">
        <f>Roadmap!Q60</f>
        <v>3</v>
      </c>
      <c r="F60" s="5">
        <f>COUNTIF(LeetCode!$K$5:$K$400,B60)</f>
        <v>0</v>
      </c>
      <c r="G60" s="26"/>
      <c r="H60" s="8"/>
      <c r="I60" s="8"/>
      <c r="J60" s="5">
        <f t="shared" si="3"/>
        <v>0</v>
      </c>
    </row>
    <row r="61" spans="1:10">
      <c r="A61" s="5">
        <v>57</v>
      </c>
      <c r="B61" s="9">
        <f>Dashboard!$B$4+A61-1</f>
        <v>46356</v>
      </c>
      <c r="C61" s="5">
        <f t="shared" si="2"/>
        <v>9</v>
      </c>
      <c r="D61" s="11"/>
      <c r="E61" s="10">
        <f>Roadmap!Q61</f>
        <v>3</v>
      </c>
      <c r="F61" s="5">
        <f>COUNTIF(LeetCode!$K$5:$K$400,B61)</f>
        <v>0</v>
      </c>
      <c r="G61" s="26"/>
      <c r="H61" s="8"/>
      <c r="I61" s="8"/>
      <c r="J61" s="5">
        <f t="shared" si="3"/>
        <v>0</v>
      </c>
    </row>
    <row r="62" spans="1:10">
      <c r="A62" s="5">
        <v>58</v>
      </c>
      <c r="B62" s="9">
        <f>Dashboard!$B$4+A62-1</f>
        <v>46357</v>
      </c>
      <c r="C62" s="5">
        <f t="shared" si="2"/>
        <v>9</v>
      </c>
      <c r="D62" s="11"/>
      <c r="E62" s="10">
        <f>Roadmap!Q62</f>
        <v>3</v>
      </c>
      <c r="F62" s="5">
        <f>COUNTIF(LeetCode!$K$5:$K$400,B62)</f>
        <v>0</v>
      </c>
      <c r="G62" s="26"/>
      <c r="H62" s="8"/>
      <c r="I62" s="8"/>
      <c r="J62" s="5">
        <f t="shared" si="3"/>
        <v>0</v>
      </c>
    </row>
    <row r="63" spans="1:10">
      <c r="A63" s="5">
        <v>59</v>
      </c>
      <c r="B63" s="9">
        <f>Dashboard!$B$4+A63-1</f>
        <v>46358</v>
      </c>
      <c r="C63" s="5">
        <f t="shared" si="2"/>
        <v>9</v>
      </c>
      <c r="D63" s="11"/>
      <c r="E63" s="10">
        <f>Roadmap!Q63</f>
        <v>3</v>
      </c>
      <c r="F63" s="5">
        <f>COUNTIF(LeetCode!$K$5:$K$400,B63)</f>
        <v>0</v>
      </c>
      <c r="G63" s="26"/>
      <c r="H63" s="8"/>
      <c r="I63" s="8"/>
      <c r="J63" s="5">
        <f t="shared" si="3"/>
        <v>0</v>
      </c>
    </row>
    <row r="64" spans="1:10">
      <c r="A64" s="5">
        <v>60</v>
      </c>
      <c r="B64" s="9">
        <f>Dashboard!$B$4+A64-1</f>
        <v>46359</v>
      </c>
      <c r="C64" s="5">
        <f t="shared" si="2"/>
        <v>9</v>
      </c>
      <c r="D64" s="11"/>
      <c r="E64" s="10">
        <f>Roadmap!Q64</f>
        <v>3</v>
      </c>
      <c r="F64" s="5">
        <f>COUNTIF(LeetCode!$K$5:$K$400,B64)</f>
        <v>0</v>
      </c>
      <c r="G64" s="26"/>
      <c r="H64" s="8"/>
      <c r="I64" s="8"/>
      <c r="J64" s="5">
        <f t="shared" si="3"/>
        <v>0</v>
      </c>
    </row>
    <row r="65" spans="1:10">
      <c r="A65" s="5">
        <v>61</v>
      </c>
      <c r="B65" s="9">
        <f>Dashboard!$B$4+A65-1</f>
        <v>46360</v>
      </c>
      <c r="C65" s="5">
        <f t="shared" si="2"/>
        <v>9</v>
      </c>
      <c r="D65" s="11"/>
      <c r="E65" s="10">
        <f>Roadmap!Q65</f>
        <v>3</v>
      </c>
      <c r="F65" s="5">
        <f>COUNTIF(LeetCode!$K$5:$K$400,B65)</f>
        <v>0</v>
      </c>
      <c r="G65" s="26"/>
      <c r="H65" s="8"/>
      <c r="I65" s="8"/>
      <c r="J65" s="5">
        <f t="shared" si="3"/>
        <v>0</v>
      </c>
    </row>
    <row r="66" spans="1:10">
      <c r="A66" s="5">
        <v>62</v>
      </c>
      <c r="B66" s="9">
        <f>Dashboard!$B$4+A66-1</f>
        <v>46361</v>
      </c>
      <c r="C66" s="5">
        <f t="shared" si="2"/>
        <v>9</v>
      </c>
      <c r="D66" s="11"/>
      <c r="E66" s="10">
        <f>Roadmap!Q66</f>
        <v>3</v>
      </c>
      <c r="F66" s="5">
        <f>COUNTIF(LeetCode!$K$5:$K$400,B66)</f>
        <v>0</v>
      </c>
      <c r="G66" s="26"/>
      <c r="H66" s="8"/>
      <c r="I66" s="8"/>
      <c r="J66" s="5">
        <f t="shared" si="3"/>
        <v>0</v>
      </c>
    </row>
    <row r="67" spans="1:10">
      <c r="A67" s="5">
        <v>63</v>
      </c>
      <c r="B67" s="9">
        <f>Dashboard!$B$4+A67-1</f>
        <v>46362</v>
      </c>
      <c r="C67" s="5">
        <f t="shared" si="2"/>
        <v>9</v>
      </c>
      <c r="D67" s="11"/>
      <c r="E67" s="10">
        <f>Roadmap!Q67</f>
        <v>3</v>
      </c>
      <c r="F67" s="5">
        <f>COUNTIF(LeetCode!$K$5:$K$400,B67)</f>
        <v>0</v>
      </c>
      <c r="G67" s="26"/>
      <c r="H67" s="8"/>
      <c r="I67" s="8"/>
      <c r="J67" s="5">
        <f t="shared" si="3"/>
        <v>0</v>
      </c>
    </row>
    <row r="68" spans="1:10">
      <c r="A68" s="5">
        <v>64</v>
      </c>
      <c r="B68" s="9">
        <f>Dashboard!$B$4+A68-1</f>
        <v>46363</v>
      </c>
      <c r="C68" s="5">
        <f t="shared" si="2"/>
        <v>10</v>
      </c>
      <c r="D68" s="11"/>
      <c r="E68" s="10">
        <f>Roadmap!Q68</f>
        <v>3</v>
      </c>
      <c r="F68" s="5">
        <f>COUNTIF(LeetCode!$K$5:$K$400,B68)</f>
        <v>0</v>
      </c>
      <c r="G68" s="26"/>
      <c r="H68" s="8"/>
      <c r="I68" s="8"/>
      <c r="J68" s="5">
        <f t="shared" si="3"/>
        <v>0</v>
      </c>
    </row>
    <row r="69" spans="1:10">
      <c r="A69" s="5">
        <v>65</v>
      </c>
      <c r="B69" s="9">
        <f>Dashboard!$B$4+A69-1</f>
        <v>46364</v>
      </c>
      <c r="C69" s="5">
        <f t="shared" ref="C69:C104" si="4">INT((A69-1)/7)+1</f>
        <v>10</v>
      </c>
      <c r="D69" s="11"/>
      <c r="E69" s="10">
        <f>Roadmap!Q69</f>
        <v>3</v>
      </c>
      <c r="F69" s="5">
        <f>COUNTIF(LeetCode!$K$5:$K$400,B69)</f>
        <v>0</v>
      </c>
      <c r="G69" s="26"/>
      <c r="H69" s="8"/>
      <c r="I69" s="8"/>
      <c r="J69" s="5">
        <f t="shared" si="3"/>
        <v>0</v>
      </c>
    </row>
    <row r="70" spans="1:10">
      <c r="A70" s="5">
        <v>66</v>
      </c>
      <c r="B70" s="9">
        <f>Dashboard!$B$4+A70-1</f>
        <v>46365</v>
      </c>
      <c r="C70" s="5">
        <f t="shared" si="4"/>
        <v>10</v>
      </c>
      <c r="D70" s="11"/>
      <c r="E70" s="10">
        <f>Roadmap!Q70</f>
        <v>3</v>
      </c>
      <c r="F70" s="5">
        <f>COUNTIF(LeetCode!$K$5:$K$400,B70)</f>
        <v>0</v>
      </c>
      <c r="G70" s="26"/>
      <c r="H70" s="8"/>
      <c r="I70" s="8"/>
      <c r="J70" s="5">
        <f t="shared" ref="J70:J104" si="5">IF(D70&gt;0,J69+1,0)</f>
        <v>0</v>
      </c>
    </row>
    <row r="71" spans="1:10">
      <c r="A71" s="5">
        <v>67</v>
      </c>
      <c r="B71" s="9">
        <f>Dashboard!$B$4+A71-1</f>
        <v>46366</v>
      </c>
      <c r="C71" s="5">
        <f t="shared" si="4"/>
        <v>10</v>
      </c>
      <c r="D71" s="11"/>
      <c r="E71" s="10">
        <f>Roadmap!Q71</f>
        <v>3</v>
      </c>
      <c r="F71" s="5">
        <f>COUNTIF(LeetCode!$K$5:$K$400,B71)</f>
        <v>0</v>
      </c>
      <c r="G71" s="26"/>
      <c r="H71" s="8"/>
      <c r="I71" s="8"/>
      <c r="J71" s="5">
        <f t="shared" si="5"/>
        <v>0</v>
      </c>
    </row>
    <row r="72" spans="1:10">
      <c r="A72" s="5">
        <v>68</v>
      </c>
      <c r="B72" s="9">
        <f>Dashboard!$B$4+A72-1</f>
        <v>46367</v>
      </c>
      <c r="C72" s="5">
        <f t="shared" si="4"/>
        <v>10</v>
      </c>
      <c r="D72" s="11"/>
      <c r="E72" s="10">
        <f>Roadmap!Q72</f>
        <v>3</v>
      </c>
      <c r="F72" s="5">
        <f>COUNTIF(LeetCode!$K$5:$K$400,B72)</f>
        <v>0</v>
      </c>
      <c r="G72" s="26"/>
      <c r="H72" s="8"/>
      <c r="I72" s="8"/>
      <c r="J72" s="5">
        <f t="shared" si="5"/>
        <v>0</v>
      </c>
    </row>
    <row r="73" spans="1:10">
      <c r="A73" s="5">
        <v>69</v>
      </c>
      <c r="B73" s="9">
        <f>Dashboard!$B$4+A73-1</f>
        <v>46368</v>
      </c>
      <c r="C73" s="5">
        <f t="shared" si="4"/>
        <v>10</v>
      </c>
      <c r="D73" s="11"/>
      <c r="E73" s="10">
        <f>Roadmap!Q73</f>
        <v>3</v>
      </c>
      <c r="F73" s="5">
        <f>COUNTIF(LeetCode!$K$5:$K$400,B73)</f>
        <v>0</v>
      </c>
      <c r="G73" s="26"/>
      <c r="H73" s="8"/>
      <c r="I73" s="8"/>
      <c r="J73" s="5">
        <f t="shared" si="5"/>
        <v>0</v>
      </c>
    </row>
    <row r="74" spans="1:10">
      <c r="A74" s="5">
        <v>70</v>
      </c>
      <c r="B74" s="9">
        <f>Dashboard!$B$4+A74-1</f>
        <v>46369</v>
      </c>
      <c r="C74" s="5">
        <f t="shared" si="4"/>
        <v>10</v>
      </c>
      <c r="D74" s="11"/>
      <c r="E74" s="10">
        <f>Roadmap!Q74</f>
        <v>3</v>
      </c>
      <c r="F74" s="5">
        <f>COUNTIF(LeetCode!$K$5:$K$400,B74)</f>
        <v>0</v>
      </c>
      <c r="G74" s="26"/>
      <c r="H74" s="8"/>
      <c r="I74" s="8"/>
      <c r="J74" s="5">
        <f t="shared" si="5"/>
        <v>0</v>
      </c>
    </row>
    <row r="75" spans="1:10">
      <c r="A75" s="5">
        <v>71</v>
      </c>
      <c r="B75" s="9">
        <f>Dashboard!$B$4+A75-1</f>
        <v>46370</v>
      </c>
      <c r="C75" s="5">
        <f t="shared" si="4"/>
        <v>11</v>
      </c>
      <c r="D75" s="11"/>
      <c r="E75" s="10">
        <f>Roadmap!Q75</f>
        <v>3</v>
      </c>
      <c r="F75" s="5">
        <f>COUNTIF(LeetCode!$K$5:$K$400,B75)</f>
        <v>0</v>
      </c>
      <c r="G75" s="26"/>
      <c r="H75" s="8"/>
      <c r="I75" s="8"/>
      <c r="J75" s="5">
        <f t="shared" si="5"/>
        <v>0</v>
      </c>
    </row>
    <row r="76" spans="1:10">
      <c r="A76" s="5">
        <v>72</v>
      </c>
      <c r="B76" s="9">
        <f>Dashboard!$B$4+A76-1</f>
        <v>46371</v>
      </c>
      <c r="C76" s="5">
        <f t="shared" si="4"/>
        <v>11</v>
      </c>
      <c r="D76" s="11"/>
      <c r="E76" s="10">
        <f>Roadmap!Q76</f>
        <v>3</v>
      </c>
      <c r="F76" s="5">
        <f>COUNTIF(LeetCode!$K$5:$K$400,B76)</f>
        <v>0</v>
      </c>
      <c r="G76" s="26"/>
      <c r="H76" s="8"/>
      <c r="I76" s="8"/>
      <c r="J76" s="5">
        <f t="shared" si="5"/>
        <v>0</v>
      </c>
    </row>
    <row r="77" spans="1:10">
      <c r="A77" s="5">
        <v>73</v>
      </c>
      <c r="B77" s="9">
        <f>Dashboard!$B$4+A77-1</f>
        <v>46372</v>
      </c>
      <c r="C77" s="5">
        <f t="shared" si="4"/>
        <v>11</v>
      </c>
      <c r="D77" s="11"/>
      <c r="E77" s="10">
        <f>Roadmap!Q77</f>
        <v>3</v>
      </c>
      <c r="F77" s="5">
        <f>COUNTIF(LeetCode!$K$5:$K$400,B77)</f>
        <v>0</v>
      </c>
      <c r="G77" s="26"/>
      <c r="H77" s="8"/>
      <c r="I77" s="8"/>
      <c r="J77" s="5">
        <f t="shared" si="5"/>
        <v>0</v>
      </c>
    </row>
    <row r="78" spans="1:10">
      <c r="A78" s="5">
        <v>74</v>
      </c>
      <c r="B78" s="9">
        <f>Dashboard!$B$4+A78-1</f>
        <v>46373</v>
      </c>
      <c r="C78" s="5">
        <f t="shared" si="4"/>
        <v>11</v>
      </c>
      <c r="D78" s="11"/>
      <c r="E78" s="10">
        <f>Roadmap!Q78</f>
        <v>3</v>
      </c>
      <c r="F78" s="5">
        <f>COUNTIF(LeetCode!$K$5:$K$400,B78)</f>
        <v>0</v>
      </c>
      <c r="G78" s="26"/>
      <c r="H78" s="8"/>
      <c r="I78" s="8"/>
      <c r="J78" s="5">
        <f t="shared" si="5"/>
        <v>0</v>
      </c>
    </row>
    <row r="79" spans="1:10">
      <c r="A79" s="5">
        <v>75</v>
      </c>
      <c r="B79" s="9">
        <f>Dashboard!$B$4+A79-1</f>
        <v>46374</v>
      </c>
      <c r="C79" s="5">
        <f t="shared" si="4"/>
        <v>11</v>
      </c>
      <c r="D79" s="11"/>
      <c r="E79" s="10">
        <f>Roadmap!Q79</f>
        <v>3</v>
      </c>
      <c r="F79" s="5">
        <f>COUNTIF(LeetCode!$K$5:$K$400,B79)</f>
        <v>0</v>
      </c>
      <c r="G79" s="26"/>
      <c r="H79" s="8"/>
      <c r="I79" s="8"/>
      <c r="J79" s="5">
        <f t="shared" si="5"/>
        <v>0</v>
      </c>
    </row>
    <row r="80" spans="1:10">
      <c r="A80" s="5">
        <v>76</v>
      </c>
      <c r="B80" s="9">
        <f>Dashboard!$B$4+A80-1</f>
        <v>46375</v>
      </c>
      <c r="C80" s="5">
        <f t="shared" si="4"/>
        <v>11</v>
      </c>
      <c r="D80" s="11"/>
      <c r="E80" s="10">
        <f>Roadmap!Q80</f>
        <v>3</v>
      </c>
      <c r="F80" s="5">
        <f>COUNTIF(LeetCode!$K$5:$K$400,B80)</f>
        <v>0</v>
      </c>
      <c r="G80" s="26"/>
      <c r="H80" s="8"/>
      <c r="I80" s="8"/>
      <c r="J80" s="5">
        <f t="shared" si="5"/>
        <v>0</v>
      </c>
    </row>
    <row r="81" spans="1:10">
      <c r="A81" s="5">
        <v>77</v>
      </c>
      <c r="B81" s="9">
        <f>Dashboard!$B$4+A81-1</f>
        <v>46376</v>
      </c>
      <c r="C81" s="5">
        <f t="shared" si="4"/>
        <v>11</v>
      </c>
      <c r="D81" s="11"/>
      <c r="E81" s="10">
        <f>Roadmap!Q81</f>
        <v>3</v>
      </c>
      <c r="F81" s="5">
        <f>COUNTIF(LeetCode!$K$5:$K$400,B81)</f>
        <v>0</v>
      </c>
      <c r="G81" s="26"/>
      <c r="H81" s="8"/>
      <c r="I81" s="8"/>
      <c r="J81" s="5">
        <f t="shared" si="5"/>
        <v>0</v>
      </c>
    </row>
    <row r="82" spans="1:10">
      <c r="A82" s="5">
        <v>78</v>
      </c>
      <c r="B82" s="9">
        <f>Dashboard!$B$4+A82-1</f>
        <v>46377</v>
      </c>
      <c r="C82" s="5">
        <f t="shared" si="4"/>
        <v>12</v>
      </c>
      <c r="D82" s="11"/>
      <c r="E82" s="10">
        <f>Roadmap!Q82</f>
        <v>3</v>
      </c>
      <c r="F82" s="5">
        <f>COUNTIF(LeetCode!$K$5:$K$400,B82)</f>
        <v>0</v>
      </c>
      <c r="G82" s="26"/>
      <c r="H82" s="8"/>
      <c r="I82" s="8"/>
      <c r="J82" s="5">
        <f t="shared" si="5"/>
        <v>0</v>
      </c>
    </row>
    <row r="83" spans="1:10">
      <c r="A83" s="5">
        <v>79</v>
      </c>
      <c r="B83" s="9">
        <f>Dashboard!$B$4+A83-1</f>
        <v>46378</v>
      </c>
      <c r="C83" s="5">
        <f t="shared" si="4"/>
        <v>12</v>
      </c>
      <c r="D83" s="11"/>
      <c r="E83" s="10">
        <f>Roadmap!Q83</f>
        <v>3</v>
      </c>
      <c r="F83" s="5">
        <f>COUNTIF(LeetCode!$K$5:$K$400,B83)</f>
        <v>0</v>
      </c>
      <c r="G83" s="26"/>
      <c r="H83" s="8"/>
      <c r="I83" s="8"/>
      <c r="J83" s="5">
        <f t="shared" si="5"/>
        <v>0</v>
      </c>
    </row>
    <row r="84" spans="1:10">
      <c r="A84" s="5">
        <v>80</v>
      </c>
      <c r="B84" s="9">
        <f>Dashboard!$B$4+A84-1</f>
        <v>46379</v>
      </c>
      <c r="C84" s="5">
        <f t="shared" si="4"/>
        <v>12</v>
      </c>
      <c r="D84" s="11"/>
      <c r="E84" s="10">
        <f>Roadmap!Q84</f>
        <v>3</v>
      </c>
      <c r="F84" s="5">
        <f>COUNTIF(LeetCode!$K$5:$K$400,B84)</f>
        <v>0</v>
      </c>
      <c r="G84" s="26"/>
      <c r="H84" s="8"/>
      <c r="I84" s="8"/>
      <c r="J84" s="5">
        <f t="shared" si="5"/>
        <v>0</v>
      </c>
    </row>
    <row r="85" spans="1:10">
      <c r="A85" s="5">
        <v>81</v>
      </c>
      <c r="B85" s="9">
        <f>Dashboard!$B$4+A85-1</f>
        <v>46380</v>
      </c>
      <c r="C85" s="5">
        <f t="shared" si="4"/>
        <v>12</v>
      </c>
      <c r="D85" s="11"/>
      <c r="E85" s="10">
        <f>Roadmap!Q85</f>
        <v>3</v>
      </c>
      <c r="F85" s="5">
        <f>COUNTIF(LeetCode!$K$5:$K$400,B85)</f>
        <v>0</v>
      </c>
      <c r="G85" s="26"/>
      <c r="H85" s="8"/>
      <c r="I85" s="8"/>
      <c r="J85" s="5">
        <f t="shared" si="5"/>
        <v>0</v>
      </c>
    </row>
    <row r="86" spans="1:10">
      <c r="A86" s="5">
        <v>82</v>
      </c>
      <c r="B86" s="9">
        <f>Dashboard!$B$4+A86-1</f>
        <v>46381</v>
      </c>
      <c r="C86" s="5">
        <f t="shared" si="4"/>
        <v>12</v>
      </c>
      <c r="D86" s="11"/>
      <c r="E86" s="10">
        <f>Roadmap!Q86</f>
        <v>3</v>
      </c>
      <c r="F86" s="5">
        <f>COUNTIF(LeetCode!$K$5:$K$400,B86)</f>
        <v>0</v>
      </c>
      <c r="G86" s="26"/>
      <c r="H86" s="8"/>
      <c r="I86" s="8"/>
      <c r="J86" s="5">
        <f t="shared" si="5"/>
        <v>0</v>
      </c>
    </row>
    <row r="87" spans="1:10">
      <c r="A87" s="5">
        <v>83</v>
      </c>
      <c r="B87" s="9">
        <f>Dashboard!$B$4+A87-1</f>
        <v>46382</v>
      </c>
      <c r="C87" s="5">
        <f t="shared" si="4"/>
        <v>12</v>
      </c>
      <c r="D87" s="11"/>
      <c r="E87" s="10">
        <f>Roadmap!Q87</f>
        <v>3</v>
      </c>
      <c r="F87" s="5">
        <f>COUNTIF(LeetCode!$K$5:$K$400,B87)</f>
        <v>0</v>
      </c>
      <c r="G87" s="26"/>
      <c r="H87" s="8"/>
      <c r="I87" s="8"/>
      <c r="J87" s="5">
        <f t="shared" si="5"/>
        <v>0</v>
      </c>
    </row>
    <row r="88" spans="1:10">
      <c r="A88" s="5">
        <v>84</v>
      </c>
      <c r="B88" s="9">
        <f>Dashboard!$B$4+A88-1</f>
        <v>46383</v>
      </c>
      <c r="C88" s="5">
        <f t="shared" si="4"/>
        <v>12</v>
      </c>
      <c r="D88" s="11"/>
      <c r="E88" s="10">
        <f>Roadmap!Q88</f>
        <v>3</v>
      </c>
      <c r="F88" s="5">
        <f>COUNTIF(LeetCode!$K$5:$K$400,B88)</f>
        <v>0</v>
      </c>
      <c r="G88" s="26"/>
      <c r="H88" s="8"/>
      <c r="I88" s="8"/>
      <c r="J88" s="5">
        <f t="shared" si="5"/>
        <v>0</v>
      </c>
    </row>
    <row r="89" spans="1:10">
      <c r="A89" s="5">
        <v>85</v>
      </c>
      <c r="B89" s="9">
        <f>Dashboard!$B$4+A89-1</f>
        <v>46384</v>
      </c>
      <c r="C89" s="5">
        <f t="shared" si="4"/>
        <v>13</v>
      </c>
      <c r="D89" s="11"/>
      <c r="E89" s="10">
        <f>Roadmap!Q89</f>
        <v>3</v>
      </c>
      <c r="F89" s="5">
        <f>COUNTIF(LeetCode!$K$5:$K$400,B89)</f>
        <v>0</v>
      </c>
      <c r="G89" s="26"/>
      <c r="H89" s="8"/>
      <c r="I89" s="8"/>
      <c r="J89" s="5">
        <f t="shared" si="5"/>
        <v>0</v>
      </c>
    </row>
    <row r="90" spans="1:10">
      <c r="A90" s="5">
        <v>86</v>
      </c>
      <c r="B90" s="9">
        <f>Dashboard!$B$4+A90-1</f>
        <v>46385</v>
      </c>
      <c r="C90" s="5">
        <f t="shared" si="4"/>
        <v>13</v>
      </c>
      <c r="D90" s="11"/>
      <c r="E90" s="10">
        <f>Roadmap!Q90</f>
        <v>3</v>
      </c>
      <c r="F90" s="5">
        <f>COUNTIF(LeetCode!$K$5:$K$400,B90)</f>
        <v>0</v>
      </c>
      <c r="G90" s="26"/>
      <c r="H90" s="8"/>
      <c r="I90" s="8"/>
      <c r="J90" s="5">
        <f t="shared" si="5"/>
        <v>0</v>
      </c>
    </row>
    <row r="91" spans="1:10">
      <c r="A91" s="5">
        <v>87</v>
      </c>
      <c r="B91" s="9">
        <f>Dashboard!$B$4+A91-1</f>
        <v>46386</v>
      </c>
      <c r="C91" s="5">
        <f t="shared" si="4"/>
        <v>13</v>
      </c>
      <c r="D91" s="11"/>
      <c r="E91" s="10">
        <f>Roadmap!Q91</f>
        <v>3</v>
      </c>
      <c r="F91" s="5">
        <f>COUNTIF(LeetCode!$K$5:$K$400,B91)</f>
        <v>0</v>
      </c>
      <c r="G91" s="26"/>
      <c r="H91" s="8"/>
      <c r="I91" s="8"/>
      <c r="J91" s="5">
        <f t="shared" si="5"/>
        <v>0</v>
      </c>
    </row>
    <row r="92" spans="1:10">
      <c r="A92" s="5">
        <v>88</v>
      </c>
      <c r="B92" s="9">
        <f>Dashboard!$B$4+A92-1</f>
        <v>46387</v>
      </c>
      <c r="C92" s="5">
        <f t="shared" si="4"/>
        <v>13</v>
      </c>
      <c r="D92" s="11"/>
      <c r="E92" s="10">
        <f>Roadmap!Q92</f>
        <v>3</v>
      </c>
      <c r="F92" s="5">
        <f>COUNTIF(LeetCode!$K$5:$K$400,B92)</f>
        <v>0</v>
      </c>
      <c r="G92" s="26"/>
      <c r="H92" s="8"/>
      <c r="I92" s="8"/>
      <c r="J92" s="5">
        <f t="shared" si="5"/>
        <v>0</v>
      </c>
    </row>
    <row r="93" spans="1:10">
      <c r="A93" s="5">
        <v>89</v>
      </c>
      <c r="B93" s="9">
        <f>Dashboard!$B$4+A93-1</f>
        <v>46388</v>
      </c>
      <c r="C93" s="5">
        <f t="shared" si="4"/>
        <v>13</v>
      </c>
      <c r="D93" s="11"/>
      <c r="E93" s="10">
        <f>Roadmap!Q93</f>
        <v>3</v>
      </c>
      <c r="F93" s="5">
        <f>COUNTIF(LeetCode!$K$5:$K$400,B93)</f>
        <v>0</v>
      </c>
      <c r="G93" s="26"/>
      <c r="H93" s="8"/>
      <c r="I93" s="8"/>
      <c r="J93" s="5">
        <f t="shared" si="5"/>
        <v>0</v>
      </c>
    </row>
    <row r="94" spans="1:10">
      <c r="A94" s="5">
        <v>90</v>
      </c>
      <c r="B94" s="9">
        <f>Dashboard!$B$4+A94-1</f>
        <v>46389</v>
      </c>
      <c r="C94" s="5">
        <f t="shared" si="4"/>
        <v>13</v>
      </c>
      <c r="D94" s="11"/>
      <c r="E94" s="10">
        <f>Roadmap!Q94</f>
        <v>3</v>
      </c>
      <c r="F94" s="5">
        <f>COUNTIF(LeetCode!$K$5:$K$400,B94)</f>
        <v>0</v>
      </c>
      <c r="G94" s="26"/>
      <c r="H94" s="8"/>
      <c r="I94" s="8"/>
      <c r="J94" s="5">
        <f t="shared" si="5"/>
        <v>0</v>
      </c>
    </row>
    <row r="95" spans="1:10">
      <c r="A95" s="5">
        <v>91</v>
      </c>
      <c r="B95" s="9">
        <f>Dashboard!$B$4+A95-1</f>
        <v>46390</v>
      </c>
      <c r="C95" s="5">
        <f t="shared" si="4"/>
        <v>13</v>
      </c>
      <c r="D95" s="11"/>
      <c r="E95" s="10">
        <f>Roadmap!Q95</f>
        <v>3</v>
      </c>
      <c r="F95" s="5">
        <f>COUNTIF(LeetCode!$K$5:$K$400,B95)</f>
        <v>0</v>
      </c>
      <c r="G95" s="26"/>
      <c r="H95" s="8"/>
      <c r="I95" s="8"/>
      <c r="J95" s="5">
        <f t="shared" si="5"/>
        <v>0</v>
      </c>
    </row>
    <row r="96" spans="1:10">
      <c r="A96" s="5">
        <v>92</v>
      </c>
      <c r="B96" s="9">
        <f>Dashboard!$B$4+A96-1</f>
        <v>46391</v>
      </c>
      <c r="C96" s="5">
        <f t="shared" si="4"/>
        <v>14</v>
      </c>
      <c r="D96" s="11"/>
      <c r="E96" s="10">
        <f>Roadmap!Q96</f>
        <v>3</v>
      </c>
      <c r="F96" s="5">
        <f>COUNTIF(LeetCode!$K$5:$K$400,B96)</f>
        <v>0</v>
      </c>
      <c r="G96" s="26"/>
      <c r="H96" s="8"/>
      <c r="I96" s="8"/>
      <c r="J96" s="5">
        <f t="shared" si="5"/>
        <v>0</v>
      </c>
    </row>
    <row r="97" spans="1:10">
      <c r="A97" s="5">
        <v>93</v>
      </c>
      <c r="B97" s="9">
        <f>Dashboard!$B$4+A97-1</f>
        <v>46392</v>
      </c>
      <c r="C97" s="5">
        <f t="shared" si="4"/>
        <v>14</v>
      </c>
      <c r="D97" s="11"/>
      <c r="E97" s="10">
        <f>Roadmap!Q97</f>
        <v>3</v>
      </c>
      <c r="F97" s="5">
        <f>COUNTIF(LeetCode!$K$5:$K$400,B97)</f>
        <v>0</v>
      </c>
      <c r="G97" s="26"/>
      <c r="H97" s="8"/>
      <c r="I97" s="8"/>
      <c r="J97" s="5">
        <f t="shared" si="5"/>
        <v>0</v>
      </c>
    </row>
    <row r="98" spans="1:10">
      <c r="A98" s="5">
        <v>94</v>
      </c>
      <c r="B98" s="9">
        <f>Dashboard!$B$4+A98-1</f>
        <v>46393</v>
      </c>
      <c r="C98" s="5">
        <f t="shared" si="4"/>
        <v>14</v>
      </c>
      <c r="D98" s="11"/>
      <c r="E98" s="10">
        <f>Roadmap!Q98</f>
        <v>3</v>
      </c>
      <c r="F98" s="5">
        <f>COUNTIF(LeetCode!$K$5:$K$400,B98)</f>
        <v>0</v>
      </c>
      <c r="G98" s="26"/>
      <c r="H98" s="8"/>
      <c r="I98" s="8"/>
      <c r="J98" s="5">
        <f t="shared" si="5"/>
        <v>0</v>
      </c>
    </row>
    <row r="99" spans="1:10">
      <c r="A99" s="5">
        <v>95</v>
      </c>
      <c r="B99" s="9">
        <f>Dashboard!$B$4+A99-1</f>
        <v>46394</v>
      </c>
      <c r="C99" s="5">
        <f t="shared" si="4"/>
        <v>14</v>
      </c>
      <c r="D99" s="11"/>
      <c r="E99" s="10">
        <f>Roadmap!Q99</f>
        <v>3</v>
      </c>
      <c r="F99" s="5">
        <f>COUNTIF(LeetCode!$K$5:$K$400,B99)</f>
        <v>0</v>
      </c>
      <c r="G99" s="26"/>
      <c r="H99" s="8"/>
      <c r="I99" s="8"/>
      <c r="J99" s="5">
        <f t="shared" si="5"/>
        <v>0</v>
      </c>
    </row>
    <row r="100" spans="1:10">
      <c r="A100" s="5">
        <v>96</v>
      </c>
      <c r="B100" s="9">
        <f>Dashboard!$B$4+A100-1</f>
        <v>46395</v>
      </c>
      <c r="C100" s="5">
        <f t="shared" si="4"/>
        <v>14</v>
      </c>
      <c r="D100" s="11"/>
      <c r="E100" s="10">
        <f>Roadmap!Q100</f>
        <v>3</v>
      </c>
      <c r="F100" s="5">
        <f>COUNTIF(LeetCode!$K$5:$K$400,B100)</f>
        <v>0</v>
      </c>
      <c r="G100" s="26"/>
      <c r="H100" s="8"/>
      <c r="I100" s="8"/>
      <c r="J100" s="5">
        <f t="shared" si="5"/>
        <v>0</v>
      </c>
    </row>
    <row r="101" spans="1:10">
      <c r="A101" s="5">
        <v>97</v>
      </c>
      <c r="B101" s="9">
        <f>Dashboard!$B$4+A101-1</f>
        <v>46396</v>
      </c>
      <c r="C101" s="5">
        <f t="shared" si="4"/>
        <v>14</v>
      </c>
      <c r="D101" s="11"/>
      <c r="E101" s="10">
        <f>Roadmap!Q101</f>
        <v>3</v>
      </c>
      <c r="F101" s="5">
        <f>COUNTIF(LeetCode!$K$5:$K$400,B101)</f>
        <v>0</v>
      </c>
      <c r="G101" s="26"/>
      <c r="H101" s="8"/>
      <c r="I101" s="8"/>
      <c r="J101" s="5">
        <f t="shared" si="5"/>
        <v>0</v>
      </c>
    </row>
    <row r="102" spans="1:10">
      <c r="A102" s="5">
        <v>98</v>
      </c>
      <c r="B102" s="9">
        <f>Dashboard!$B$4+A102-1</f>
        <v>46397</v>
      </c>
      <c r="C102" s="5">
        <f t="shared" si="4"/>
        <v>14</v>
      </c>
      <c r="D102" s="11"/>
      <c r="E102" s="10">
        <f>Roadmap!Q102</f>
        <v>3</v>
      </c>
      <c r="F102" s="5">
        <f>COUNTIF(LeetCode!$K$5:$K$400,B102)</f>
        <v>0</v>
      </c>
      <c r="G102" s="26"/>
      <c r="H102" s="8"/>
      <c r="I102" s="8"/>
      <c r="J102" s="5">
        <f t="shared" si="5"/>
        <v>0</v>
      </c>
    </row>
    <row r="103" spans="1:10">
      <c r="A103" s="5">
        <v>99</v>
      </c>
      <c r="B103" s="9">
        <f>Dashboard!$B$4+A103-1</f>
        <v>46398</v>
      </c>
      <c r="C103" s="5">
        <f t="shared" si="4"/>
        <v>15</v>
      </c>
      <c r="D103" s="11"/>
      <c r="E103" s="10">
        <f>Roadmap!Q103</f>
        <v>4</v>
      </c>
      <c r="F103" s="5">
        <f>COUNTIF(LeetCode!$K$5:$K$400,B103)</f>
        <v>0</v>
      </c>
      <c r="G103" s="26"/>
      <c r="H103" s="8"/>
      <c r="I103" s="8"/>
      <c r="J103" s="5">
        <f t="shared" si="5"/>
        <v>0</v>
      </c>
    </row>
    <row r="104" spans="1:10">
      <c r="A104" s="5">
        <v>100</v>
      </c>
      <c r="B104" s="9">
        <f>Dashboard!$B$4+A104-1</f>
        <v>46399</v>
      </c>
      <c r="C104" s="5">
        <f t="shared" si="4"/>
        <v>15</v>
      </c>
      <c r="D104" s="11"/>
      <c r="E104" s="10">
        <f>Roadmap!Q104</f>
        <v>4</v>
      </c>
      <c r="F104" s="5">
        <f>COUNTIF(LeetCode!$K$5:$K$400,B104)</f>
        <v>0</v>
      </c>
      <c r="G104" s="26"/>
      <c r="H104" s="8"/>
      <c r="I104" s="8"/>
      <c r="J104" s="5">
        <f t="shared" si="5"/>
        <v>0</v>
      </c>
    </row>
  </sheetData>
  <mergeCells count="2">
    <mergeCell ref="A1:J1"/>
    <mergeCell ref="A2:J2"/>
  </mergeCells>
  <conditionalFormatting sqref="A5:C104">
    <cfRule type="expression" dxfId="0" priority="1">
      <formula>$B5=TODAY()</formula>
    </cfRule>
  </conditionalFormatting>
  <dataValidations count="2">
    <dataValidation type="whole" sqref="G5:G104" xr:uid="{00000000-0002-0000-0300-000000000000}">
      <formula1>1</formula1>
      <formula2>5</formula2>
    </dataValidation>
    <dataValidation type="decimal" sqref="D5:D104" xr:uid="{00000000-0002-0000-0300-000001000000}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workbookViewId="0">
      <selection sqref="A1:L1"/>
    </sheetView>
  </sheetViews>
  <sheetFormatPr defaultRowHeight="14.25"/>
  <cols>
    <col min="1" max="2" width="8" customWidth="1"/>
    <col min="3" max="3" width="34" customWidth="1"/>
    <col min="4" max="4" width="9" customWidth="1"/>
    <col min="5" max="5" width="14" customWidth="1"/>
    <col min="6" max="7" width="56" customWidth="1"/>
    <col min="8" max="8" width="10" customWidth="1"/>
    <col min="9" max="10" width="9" customWidth="1"/>
    <col min="11" max="11" width="11" customWidth="1"/>
    <col min="12" max="12" width="26" customWidth="1"/>
  </cols>
  <sheetData>
    <row r="1" spans="1:12" ht="18">
      <c r="A1" s="47" t="s">
        <v>1275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>
      <c r="A2" s="48" t="s">
        <v>1276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4" spans="1:12" ht="25.5">
      <c r="A4" s="3" t="s">
        <v>52</v>
      </c>
      <c r="B4" s="3" t="s">
        <v>1277</v>
      </c>
      <c r="C4" s="3" t="s">
        <v>1278</v>
      </c>
      <c r="D4" s="3" t="s">
        <v>1279</v>
      </c>
      <c r="E4" s="3" t="s">
        <v>1280</v>
      </c>
      <c r="F4" s="3" t="s">
        <v>1281</v>
      </c>
      <c r="G4" s="3" t="s">
        <v>1282</v>
      </c>
      <c r="H4" s="3" t="s">
        <v>1283</v>
      </c>
      <c r="I4" s="3" t="s">
        <v>1284</v>
      </c>
      <c r="J4" s="3" t="s">
        <v>1285</v>
      </c>
      <c r="K4" s="3" t="s">
        <v>1286</v>
      </c>
      <c r="L4" s="3" t="s">
        <v>85</v>
      </c>
    </row>
    <row r="5" spans="1:12" ht="25.5">
      <c r="A5" s="5" t="s">
        <v>1287</v>
      </c>
      <c r="B5" s="5" t="s">
        <v>1288</v>
      </c>
      <c r="C5" s="5" t="s">
        <v>1289</v>
      </c>
      <c r="D5" s="5">
        <v>1</v>
      </c>
      <c r="E5" s="5" t="str">
        <f ca="1">INDEX(Roadmap!$P$5:$P$104,D5)</f>
        <v>Đang học</v>
      </c>
      <c r="F5" s="5" t="s">
        <v>1290</v>
      </c>
      <c r="G5" s="5" t="s">
        <v>1291</v>
      </c>
      <c r="H5" s="8"/>
      <c r="I5" s="8"/>
      <c r="J5" s="8"/>
      <c r="K5" s="8"/>
      <c r="L5" s="8"/>
    </row>
    <row r="6" spans="1:12">
      <c r="A6" s="5" t="s">
        <v>1292</v>
      </c>
      <c r="B6" s="5" t="s">
        <v>1293</v>
      </c>
      <c r="C6" s="5" t="s">
        <v>1294</v>
      </c>
      <c r="D6" s="5">
        <v>29</v>
      </c>
      <c r="E6" s="5" t="str">
        <f ca="1">INDEX(Roadmap!$P$5:$P$104,D6)</f>
        <v>Chưa bắt đầu</v>
      </c>
      <c r="F6" s="5" t="s">
        <v>1295</v>
      </c>
      <c r="G6" s="5" t="s">
        <v>1296</v>
      </c>
      <c r="H6" s="8"/>
      <c r="I6" s="8"/>
      <c r="J6" s="8"/>
      <c r="K6" s="8"/>
      <c r="L6" s="8"/>
    </row>
    <row r="7" spans="1:12" ht="25.5">
      <c r="A7" s="5" t="s">
        <v>1292</v>
      </c>
      <c r="B7" s="5" t="s">
        <v>1293</v>
      </c>
      <c r="C7" s="5" t="s">
        <v>1297</v>
      </c>
      <c r="D7" s="5">
        <v>29</v>
      </c>
      <c r="E7" s="5" t="str">
        <f ca="1">INDEX(Roadmap!$P$5:$P$104,D7)</f>
        <v>Chưa bắt đầu</v>
      </c>
      <c r="F7" s="5" t="s">
        <v>1298</v>
      </c>
      <c r="G7" s="5" t="s">
        <v>1299</v>
      </c>
      <c r="H7" s="8"/>
      <c r="I7" s="8"/>
      <c r="J7" s="8"/>
      <c r="K7" s="8"/>
      <c r="L7" s="8"/>
    </row>
    <row r="8" spans="1:12" ht="25.5">
      <c r="A8" s="5" t="s">
        <v>1292</v>
      </c>
      <c r="B8" s="5" t="s">
        <v>1293</v>
      </c>
      <c r="C8" s="5" t="s">
        <v>1300</v>
      </c>
      <c r="D8" s="5">
        <v>29</v>
      </c>
      <c r="E8" s="5" t="str">
        <f ca="1">INDEX(Roadmap!$P$5:$P$104,D8)</f>
        <v>Chưa bắt đầu</v>
      </c>
      <c r="F8" s="5" t="s">
        <v>1301</v>
      </c>
      <c r="G8" s="5" t="s">
        <v>1302</v>
      </c>
      <c r="H8" s="8"/>
      <c r="I8" s="8"/>
      <c r="J8" s="8"/>
      <c r="K8" s="8"/>
      <c r="L8" s="8"/>
    </row>
    <row r="9" spans="1:12" ht="25.5">
      <c r="A9" s="5" t="s">
        <v>1292</v>
      </c>
      <c r="B9" s="5" t="s">
        <v>1293</v>
      </c>
      <c r="C9" s="5" t="s">
        <v>1303</v>
      </c>
      <c r="D9" s="5">
        <v>31</v>
      </c>
      <c r="E9" s="5" t="str">
        <f ca="1">INDEX(Roadmap!$P$5:$P$104,D9)</f>
        <v>Chưa bắt đầu</v>
      </c>
      <c r="F9" s="5" t="s">
        <v>1304</v>
      </c>
      <c r="G9" s="5" t="s">
        <v>1305</v>
      </c>
      <c r="H9" s="8"/>
      <c r="I9" s="8"/>
      <c r="J9" s="8"/>
      <c r="K9" s="8"/>
      <c r="L9" s="8"/>
    </row>
    <row r="10" spans="1:12" ht="25.5">
      <c r="A10" s="5" t="s">
        <v>1292</v>
      </c>
      <c r="B10" s="5" t="s">
        <v>1293</v>
      </c>
      <c r="C10" s="5" t="s">
        <v>1306</v>
      </c>
      <c r="D10" s="5">
        <v>31</v>
      </c>
      <c r="E10" s="5" t="str">
        <f ca="1">INDEX(Roadmap!$P$5:$P$104,D10)</f>
        <v>Chưa bắt đầu</v>
      </c>
      <c r="F10" s="5" t="s">
        <v>1307</v>
      </c>
      <c r="G10" s="5"/>
      <c r="H10" s="8"/>
      <c r="I10" s="8"/>
      <c r="J10" s="8"/>
      <c r="K10" s="8"/>
      <c r="L10" s="8"/>
    </row>
    <row r="11" spans="1:12">
      <c r="A11" s="5" t="s">
        <v>1292</v>
      </c>
      <c r="B11" s="5" t="s">
        <v>1293</v>
      </c>
      <c r="C11" s="5" t="s">
        <v>1308</v>
      </c>
      <c r="D11" s="5">
        <v>32</v>
      </c>
      <c r="E11" s="5" t="str">
        <f ca="1">INDEX(Roadmap!$P$5:$P$104,D11)</f>
        <v>Chưa bắt đầu</v>
      </c>
      <c r="F11" s="5" t="s">
        <v>1309</v>
      </c>
      <c r="G11" s="5" t="s">
        <v>1310</v>
      </c>
      <c r="H11" s="8"/>
      <c r="I11" s="8"/>
      <c r="J11" s="8"/>
      <c r="K11" s="8"/>
      <c r="L11" s="8"/>
    </row>
    <row r="12" spans="1:12" ht="25.5">
      <c r="A12" s="5" t="s">
        <v>1311</v>
      </c>
      <c r="B12" s="5" t="s">
        <v>1312</v>
      </c>
      <c r="C12" s="5" t="s">
        <v>1313</v>
      </c>
      <c r="D12" s="5">
        <v>35</v>
      </c>
      <c r="E12" s="5" t="str">
        <f ca="1">INDEX(Roadmap!$P$5:$P$104,D12)</f>
        <v>Chưa bắt đầu</v>
      </c>
      <c r="F12" s="5" t="s">
        <v>1314</v>
      </c>
      <c r="G12" s="5"/>
      <c r="H12" s="8"/>
      <c r="I12" s="8"/>
      <c r="J12" s="8"/>
      <c r="K12" s="8"/>
      <c r="L12" s="8"/>
    </row>
    <row r="13" spans="1:12">
      <c r="A13" s="5" t="s">
        <v>1311</v>
      </c>
      <c r="B13" s="5" t="s">
        <v>1312</v>
      </c>
      <c r="C13" s="5" t="s">
        <v>1315</v>
      </c>
      <c r="D13" s="5">
        <v>40</v>
      </c>
      <c r="E13" s="5" t="str">
        <f ca="1">INDEX(Roadmap!$P$5:$P$104,D13)</f>
        <v>Chưa bắt đầu</v>
      </c>
      <c r="F13" s="5" t="s">
        <v>1316</v>
      </c>
      <c r="G13" s="5"/>
      <c r="H13" s="8"/>
      <c r="I13" s="8"/>
      <c r="J13" s="8"/>
      <c r="K13" s="8"/>
      <c r="L13" s="8"/>
    </row>
    <row r="14" spans="1:12" ht="25.5">
      <c r="A14" s="5" t="s">
        <v>1311</v>
      </c>
      <c r="B14" s="5" t="s">
        <v>1312</v>
      </c>
      <c r="C14" s="5" t="s">
        <v>1317</v>
      </c>
      <c r="D14" s="5">
        <v>41</v>
      </c>
      <c r="E14" s="5" t="str">
        <f ca="1">INDEX(Roadmap!$P$5:$P$104,D14)</f>
        <v>Chưa bắt đầu</v>
      </c>
      <c r="F14" s="5" t="s">
        <v>1318</v>
      </c>
      <c r="G14" s="5" t="s">
        <v>1319</v>
      </c>
      <c r="H14" s="8"/>
      <c r="I14" s="8"/>
      <c r="J14" s="8"/>
      <c r="K14" s="8"/>
      <c r="L14" s="8"/>
    </row>
    <row r="15" spans="1:12" ht="25.5">
      <c r="A15" s="5" t="s">
        <v>1311</v>
      </c>
      <c r="B15" s="5" t="s">
        <v>1312</v>
      </c>
      <c r="C15" s="5" t="s">
        <v>1320</v>
      </c>
      <c r="D15" s="5">
        <v>42</v>
      </c>
      <c r="E15" s="5" t="str">
        <f ca="1">INDEX(Roadmap!$P$5:$P$104,D15)</f>
        <v>Chưa bắt đầu</v>
      </c>
      <c r="F15" s="5" t="s">
        <v>1321</v>
      </c>
      <c r="G15" s="5" t="s">
        <v>1322</v>
      </c>
      <c r="H15" s="8"/>
      <c r="I15" s="8"/>
      <c r="J15" s="8"/>
      <c r="K15" s="8"/>
      <c r="L15" s="8"/>
    </row>
    <row r="16" spans="1:12">
      <c r="A16" s="5" t="s">
        <v>1323</v>
      </c>
      <c r="B16" s="5" t="s">
        <v>1312</v>
      </c>
      <c r="C16" s="5" t="s">
        <v>1324</v>
      </c>
      <c r="D16" s="5">
        <v>43</v>
      </c>
      <c r="E16" s="5" t="str">
        <f ca="1">INDEX(Roadmap!$P$5:$P$104,D16)</f>
        <v>Chưa bắt đầu</v>
      </c>
      <c r="F16" s="5" t="s">
        <v>1325</v>
      </c>
      <c r="G16" s="5" t="s">
        <v>1291</v>
      </c>
      <c r="H16" s="8"/>
      <c r="I16" s="8"/>
      <c r="J16" s="8"/>
      <c r="K16" s="8"/>
      <c r="L16" s="8"/>
    </row>
    <row r="17" spans="1:12">
      <c r="A17" s="5" t="s">
        <v>1326</v>
      </c>
      <c r="B17" s="5" t="s">
        <v>1327</v>
      </c>
      <c r="C17" s="5" t="s">
        <v>1328</v>
      </c>
      <c r="D17" s="5">
        <v>45</v>
      </c>
      <c r="E17" s="5" t="str">
        <f ca="1">INDEX(Roadmap!$P$5:$P$104,D17)</f>
        <v>Chưa bắt đầu</v>
      </c>
      <c r="F17" s="5" t="s">
        <v>1329</v>
      </c>
      <c r="G17" s="5" t="s">
        <v>1330</v>
      </c>
      <c r="H17" s="8"/>
      <c r="I17" s="8"/>
      <c r="J17" s="8"/>
      <c r="K17" s="8"/>
      <c r="L17" s="8"/>
    </row>
    <row r="18" spans="1:12">
      <c r="A18" s="5" t="s">
        <v>1331</v>
      </c>
      <c r="B18" s="5" t="s">
        <v>1327</v>
      </c>
      <c r="C18" s="5" t="s">
        <v>1332</v>
      </c>
      <c r="D18" s="5">
        <v>52</v>
      </c>
      <c r="E18" s="5" t="str">
        <f ca="1">INDEX(Roadmap!$P$5:$P$104,D18)</f>
        <v>Chưa bắt đầu</v>
      </c>
      <c r="F18" s="5" t="s">
        <v>1333</v>
      </c>
      <c r="G18" s="5" t="s">
        <v>1330</v>
      </c>
      <c r="H18" s="8"/>
      <c r="I18" s="8"/>
      <c r="J18" s="8"/>
      <c r="K18" s="8"/>
      <c r="L18" s="8"/>
    </row>
    <row r="19" spans="1:12">
      <c r="A19" s="5" t="s">
        <v>1334</v>
      </c>
      <c r="B19" s="5" t="s">
        <v>1327</v>
      </c>
      <c r="C19" s="5" t="s">
        <v>1335</v>
      </c>
      <c r="D19" s="5">
        <v>57</v>
      </c>
      <c r="E19" s="5" t="str">
        <f ca="1">INDEX(Roadmap!$P$5:$P$104,D19)</f>
        <v>Chưa bắt đầu</v>
      </c>
      <c r="F19" s="5" t="s">
        <v>1336</v>
      </c>
      <c r="G19" s="5" t="s">
        <v>1330</v>
      </c>
      <c r="H19" s="8"/>
      <c r="I19" s="8"/>
      <c r="J19" s="8"/>
      <c r="K19" s="8"/>
      <c r="L19" s="8"/>
    </row>
    <row r="20" spans="1:12">
      <c r="A20" s="5" t="s">
        <v>1337</v>
      </c>
      <c r="B20" s="5" t="s">
        <v>1338</v>
      </c>
      <c r="C20" s="5" t="s">
        <v>1339</v>
      </c>
      <c r="D20" s="5">
        <v>74</v>
      </c>
      <c r="E20" s="5" t="str">
        <f ca="1">INDEX(Roadmap!$P$5:$P$104,D20)</f>
        <v>Chưa bắt đầu</v>
      </c>
      <c r="F20" s="5" t="s">
        <v>1340</v>
      </c>
      <c r="G20" s="5" t="s">
        <v>1330</v>
      </c>
      <c r="H20" s="8"/>
      <c r="I20" s="8"/>
      <c r="J20" s="8"/>
      <c r="K20" s="8"/>
      <c r="L20" s="8"/>
    </row>
    <row r="21" spans="1:12">
      <c r="A21" s="5" t="s">
        <v>1341</v>
      </c>
      <c r="B21" s="5" t="s">
        <v>1338</v>
      </c>
      <c r="C21" s="5" t="s">
        <v>1342</v>
      </c>
      <c r="D21" s="5">
        <v>82</v>
      </c>
      <c r="E21" s="5" t="str">
        <f ca="1">INDEX(Roadmap!$P$5:$P$104,D21)</f>
        <v>Chưa bắt đầu</v>
      </c>
      <c r="F21" s="5" t="s">
        <v>1343</v>
      </c>
      <c r="G21" s="5"/>
      <c r="H21" s="8"/>
      <c r="I21" s="8"/>
      <c r="J21" s="8"/>
      <c r="K21" s="8"/>
      <c r="L21" s="8"/>
    </row>
    <row r="22" spans="1:12" ht="25.5">
      <c r="A22" s="5" t="s">
        <v>1341</v>
      </c>
      <c r="B22" s="5" t="s">
        <v>1338</v>
      </c>
      <c r="C22" s="5" t="s">
        <v>1344</v>
      </c>
      <c r="D22" s="5">
        <v>83</v>
      </c>
      <c r="E22" s="5" t="str">
        <f ca="1">INDEX(Roadmap!$P$5:$P$104,D22)</f>
        <v>Chưa bắt đầu</v>
      </c>
      <c r="F22" s="5" t="s">
        <v>1345</v>
      </c>
      <c r="G22" s="5" t="s">
        <v>1346</v>
      </c>
      <c r="H22" s="8"/>
      <c r="I22" s="8"/>
      <c r="J22" s="8"/>
      <c r="K22" s="8"/>
      <c r="L22" s="8"/>
    </row>
    <row r="23" spans="1:12">
      <c r="A23" s="5" t="s">
        <v>1347</v>
      </c>
      <c r="B23" s="5" t="s">
        <v>1338</v>
      </c>
      <c r="C23" s="5" t="s">
        <v>1348</v>
      </c>
      <c r="D23" s="5">
        <v>87</v>
      </c>
      <c r="E23" s="5" t="str">
        <f ca="1">INDEX(Roadmap!$P$5:$P$104,D23)</f>
        <v>Chưa bắt đầu</v>
      </c>
      <c r="F23" s="5" t="s">
        <v>1349</v>
      </c>
      <c r="G23" s="5" t="s">
        <v>1330</v>
      </c>
      <c r="H23" s="8"/>
      <c r="I23" s="8"/>
      <c r="J23" s="8"/>
      <c r="K23" s="8"/>
      <c r="L23" s="8"/>
    </row>
    <row r="24" spans="1:12">
      <c r="A24" s="5" t="s">
        <v>1347</v>
      </c>
      <c r="B24" s="5" t="s">
        <v>1338</v>
      </c>
      <c r="C24" s="5" t="s">
        <v>1350</v>
      </c>
      <c r="D24" s="5">
        <v>88</v>
      </c>
      <c r="E24" s="5" t="str">
        <f ca="1">INDEX(Roadmap!$P$5:$P$104,D24)</f>
        <v>Chưa bắt đầu</v>
      </c>
      <c r="F24" s="5" t="s">
        <v>1351</v>
      </c>
      <c r="G24" s="5" t="s">
        <v>1330</v>
      </c>
      <c r="H24" s="8"/>
      <c r="I24" s="8"/>
      <c r="J24" s="8"/>
      <c r="K24" s="8"/>
      <c r="L24" s="8"/>
    </row>
    <row r="25" spans="1:12">
      <c r="A25" s="5" t="s">
        <v>1347</v>
      </c>
      <c r="B25" s="5" t="s">
        <v>1338</v>
      </c>
      <c r="C25" s="5" t="s">
        <v>1352</v>
      </c>
      <c r="D25" s="5">
        <v>89</v>
      </c>
      <c r="E25" s="5" t="str">
        <f ca="1">INDEX(Roadmap!$P$5:$P$104,D25)</f>
        <v>Chưa bắt đầu</v>
      </c>
      <c r="F25" s="5" t="s">
        <v>1353</v>
      </c>
      <c r="G25" s="5" t="s">
        <v>1330</v>
      </c>
      <c r="H25" s="8"/>
      <c r="I25" s="8"/>
      <c r="J25" s="8"/>
      <c r="K25" s="8"/>
      <c r="L25" s="8"/>
    </row>
    <row r="26" spans="1:12">
      <c r="A26" s="5" t="s">
        <v>1354</v>
      </c>
      <c r="B26" s="5" t="s">
        <v>1355</v>
      </c>
      <c r="C26" s="5" t="s">
        <v>1356</v>
      </c>
      <c r="D26" s="5">
        <v>91</v>
      </c>
      <c r="E26" s="5" t="str">
        <f ca="1">INDEX(Roadmap!$P$5:$P$104,D26)</f>
        <v>Chưa bắt đầu</v>
      </c>
      <c r="F26" s="5" t="s">
        <v>1357</v>
      </c>
      <c r="G26" s="5" t="s">
        <v>1330</v>
      </c>
      <c r="H26" s="8"/>
      <c r="I26" s="8"/>
      <c r="J26" s="8"/>
      <c r="K26" s="8"/>
      <c r="L26" s="8"/>
    </row>
    <row r="27" spans="1:12">
      <c r="A27" s="5" t="s">
        <v>1358</v>
      </c>
      <c r="B27" s="5" t="s">
        <v>1359</v>
      </c>
      <c r="C27" s="5" t="s">
        <v>1360</v>
      </c>
      <c r="D27" s="5">
        <v>94</v>
      </c>
      <c r="E27" s="5" t="str">
        <f ca="1">INDEX(Roadmap!$P$5:$P$104,D27)</f>
        <v>Chưa bắt đầu</v>
      </c>
      <c r="F27" s="5" t="s">
        <v>1361</v>
      </c>
      <c r="G27" s="5" t="s">
        <v>1330</v>
      </c>
      <c r="H27" s="8"/>
      <c r="I27" s="8"/>
      <c r="J27" s="8"/>
      <c r="K27" s="8"/>
      <c r="L27" s="8"/>
    </row>
    <row r="28" spans="1:12">
      <c r="A28" s="5" t="s">
        <v>1362</v>
      </c>
      <c r="B28" s="5" t="s">
        <v>1363</v>
      </c>
      <c r="C28" s="5" t="s">
        <v>1364</v>
      </c>
      <c r="D28" s="5">
        <v>98</v>
      </c>
      <c r="E28" s="5" t="str">
        <f ca="1">INDEX(Roadmap!$P$5:$P$104,D28)</f>
        <v>Chưa bắt đầu</v>
      </c>
      <c r="F28" s="5" t="s">
        <v>1365</v>
      </c>
      <c r="G28" s="5" t="s">
        <v>1330</v>
      </c>
      <c r="H28" s="8"/>
      <c r="I28" s="8"/>
      <c r="J28" s="8"/>
      <c r="K28" s="8"/>
      <c r="L28" s="8"/>
    </row>
  </sheetData>
  <mergeCells count="2">
    <mergeCell ref="A1:L1"/>
    <mergeCell ref="A2:L2"/>
  </mergeCells>
  <dataValidations count="1">
    <dataValidation type="list" sqref="H5:K28" xr:uid="{00000000-0002-0000-0400-000000000000}">
      <formula1>"✓"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25"/>
  <cols>
    <col min="1" max="1" width="24" customWidth="1"/>
    <col min="2" max="2" width="46" customWidth="1"/>
    <col min="3" max="3" width="52" customWidth="1"/>
    <col min="4" max="4" width="16" customWidth="1"/>
    <col min="5" max="5" width="60" customWidth="1"/>
  </cols>
  <sheetData>
    <row r="1" spans="1:5" ht="18">
      <c r="A1" s="1" t="s">
        <v>1366</v>
      </c>
    </row>
    <row r="3" spans="1:5">
      <c r="A3" s="3" t="s">
        <v>1367</v>
      </c>
      <c r="B3" s="3" t="s">
        <v>1368</v>
      </c>
      <c r="C3" s="3" t="s">
        <v>1369</v>
      </c>
      <c r="D3" s="3" t="s">
        <v>1370</v>
      </c>
      <c r="E3" s="3" t="s">
        <v>1371</v>
      </c>
    </row>
    <row r="4" spans="1:5">
      <c r="A4" s="28" t="s">
        <v>1372</v>
      </c>
      <c r="B4" s="5" t="s">
        <v>1373</v>
      </c>
      <c r="C4" s="5" t="s">
        <v>1374</v>
      </c>
      <c r="D4" s="5" t="s">
        <v>1375</v>
      </c>
      <c r="E4" s="5" t="s">
        <v>1376</v>
      </c>
    </row>
    <row r="5" spans="1:5" ht="25.5">
      <c r="A5" s="28" t="s">
        <v>1377</v>
      </c>
      <c r="B5" s="5" t="s">
        <v>1378</v>
      </c>
      <c r="C5" s="5" t="s">
        <v>1379</v>
      </c>
      <c r="D5" s="5" t="s">
        <v>1380</v>
      </c>
      <c r="E5" s="5" t="s">
        <v>1381</v>
      </c>
    </row>
    <row r="6" spans="1:5">
      <c r="A6" s="28" t="s">
        <v>1382</v>
      </c>
      <c r="B6" s="5" t="s">
        <v>1383</v>
      </c>
      <c r="C6" s="5" t="s">
        <v>1384</v>
      </c>
      <c r="D6" s="5" t="s">
        <v>1380</v>
      </c>
      <c r="E6" s="5" t="s">
        <v>1385</v>
      </c>
    </row>
    <row r="7" spans="1:5">
      <c r="A7" s="28" t="s">
        <v>1386</v>
      </c>
      <c r="B7" s="5" t="s">
        <v>1387</v>
      </c>
      <c r="C7" s="5" t="s">
        <v>1388</v>
      </c>
      <c r="D7" s="5" t="s">
        <v>1389</v>
      </c>
      <c r="E7" s="5" t="s">
        <v>1390</v>
      </c>
    </row>
    <row r="8" spans="1:5">
      <c r="A8" s="28" t="s">
        <v>1391</v>
      </c>
      <c r="B8" s="5" t="s">
        <v>188</v>
      </c>
      <c r="C8" s="5" t="s">
        <v>189</v>
      </c>
      <c r="D8" s="5" t="s">
        <v>1375</v>
      </c>
      <c r="E8" s="5" t="s">
        <v>1392</v>
      </c>
    </row>
    <row r="9" spans="1:5">
      <c r="A9" s="28" t="s">
        <v>1393</v>
      </c>
      <c r="B9" s="5" t="s">
        <v>1394</v>
      </c>
      <c r="C9" s="5" t="s">
        <v>1395</v>
      </c>
      <c r="D9" s="5" t="s">
        <v>1389</v>
      </c>
      <c r="E9" s="5"/>
    </row>
    <row r="10" spans="1:5">
      <c r="A10" s="28" t="s">
        <v>1396</v>
      </c>
      <c r="B10" s="5" t="s">
        <v>1397</v>
      </c>
      <c r="C10" s="5" t="s">
        <v>1398</v>
      </c>
      <c r="D10" s="5" t="s">
        <v>1389</v>
      </c>
      <c r="E10" s="5" t="s">
        <v>1399</v>
      </c>
    </row>
    <row r="11" spans="1:5">
      <c r="A11" s="28" t="s">
        <v>161</v>
      </c>
      <c r="B11" s="5" t="s">
        <v>1400</v>
      </c>
      <c r="C11" s="5" t="s">
        <v>1401</v>
      </c>
      <c r="D11" s="5" t="s">
        <v>1402</v>
      </c>
      <c r="E11" s="5" t="s">
        <v>1403</v>
      </c>
    </row>
    <row r="12" spans="1:5">
      <c r="A12" s="28" t="s">
        <v>1404</v>
      </c>
      <c r="B12" s="5" t="s">
        <v>1405</v>
      </c>
      <c r="C12" s="5" t="s">
        <v>1406</v>
      </c>
      <c r="D12" s="5" t="s">
        <v>1402</v>
      </c>
      <c r="E12" s="5" t="s">
        <v>1407</v>
      </c>
    </row>
    <row r="13" spans="1:5">
      <c r="A13" s="28" t="s">
        <v>1408</v>
      </c>
      <c r="B13" s="5" t="s">
        <v>1409</v>
      </c>
      <c r="C13" s="5" t="s">
        <v>1410</v>
      </c>
      <c r="D13" s="5" t="s">
        <v>1389</v>
      </c>
      <c r="E13" s="5" t="s">
        <v>1411</v>
      </c>
    </row>
    <row r="14" spans="1:5" ht="25.5">
      <c r="A14" s="28" t="s">
        <v>1412</v>
      </c>
      <c r="B14" s="5" t="s">
        <v>1413</v>
      </c>
      <c r="C14" s="5" t="s">
        <v>1414</v>
      </c>
      <c r="D14" s="5"/>
      <c r="E14" s="5" t="s">
        <v>1415</v>
      </c>
    </row>
    <row r="15" spans="1:5">
      <c r="A15" s="28" t="s">
        <v>1416</v>
      </c>
      <c r="B15" s="5" t="s">
        <v>1417</v>
      </c>
      <c r="C15" s="5" t="s">
        <v>1418</v>
      </c>
      <c r="D15" s="5" t="s">
        <v>1375</v>
      </c>
      <c r="E15" s="5" t="s">
        <v>1419</v>
      </c>
    </row>
    <row r="16" spans="1:5">
      <c r="A16" s="28" t="s">
        <v>1420</v>
      </c>
      <c r="B16" s="5" t="s">
        <v>1421</v>
      </c>
      <c r="C16" s="5" t="s">
        <v>1422</v>
      </c>
      <c r="D16" s="5"/>
      <c r="E16" s="5" t="s">
        <v>1423</v>
      </c>
    </row>
    <row r="17" spans="1:5">
      <c r="A17" s="28" t="s">
        <v>1424</v>
      </c>
      <c r="B17" s="5" t="s">
        <v>1425</v>
      </c>
      <c r="C17" s="5" t="s">
        <v>1426</v>
      </c>
      <c r="D17" s="5"/>
      <c r="E17" s="5" t="s">
        <v>1427</v>
      </c>
    </row>
    <row r="18" spans="1:5">
      <c r="A18" s="28" t="s">
        <v>1428</v>
      </c>
      <c r="B18" s="5" t="s">
        <v>1429</v>
      </c>
      <c r="C18" s="5" t="s">
        <v>1430</v>
      </c>
      <c r="D18" s="5"/>
      <c r="E18" s="5" t="s">
        <v>1431</v>
      </c>
    </row>
    <row r="19" spans="1:5">
      <c r="A19" s="28" t="s">
        <v>1432</v>
      </c>
      <c r="B19" s="5" t="s">
        <v>1433</v>
      </c>
      <c r="C19" s="5" t="s">
        <v>1434</v>
      </c>
      <c r="D19" s="5" t="s">
        <v>1435</v>
      </c>
      <c r="E19" s="5" t="s">
        <v>1436</v>
      </c>
    </row>
    <row r="20" spans="1:5">
      <c r="A20" s="28" t="s">
        <v>1437</v>
      </c>
      <c r="B20" s="5" t="s">
        <v>1438</v>
      </c>
      <c r="C20" s="5" t="s">
        <v>1439</v>
      </c>
      <c r="D20" s="5"/>
      <c r="E20" s="5"/>
    </row>
    <row r="21" spans="1:5">
      <c r="A21" s="28" t="s">
        <v>1440</v>
      </c>
      <c r="B21" s="5" t="s">
        <v>1441</v>
      </c>
      <c r="C21" s="5" t="s">
        <v>1442</v>
      </c>
      <c r="D21" s="5"/>
      <c r="E21" s="5" t="s">
        <v>1443</v>
      </c>
    </row>
    <row r="22" spans="1:5">
      <c r="A22" s="28" t="s">
        <v>1444</v>
      </c>
      <c r="B22" s="5" t="s">
        <v>1445</v>
      </c>
      <c r="C22" s="5" t="s">
        <v>1446</v>
      </c>
      <c r="D22" s="5"/>
      <c r="E22" s="5" t="s">
        <v>1447</v>
      </c>
    </row>
    <row r="23" spans="1:5">
      <c r="A23" s="28" t="s">
        <v>1448</v>
      </c>
      <c r="B23" s="5" t="s">
        <v>1449</v>
      </c>
      <c r="C23" s="5" t="s">
        <v>1450</v>
      </c>
      <c r="D23" s="5" t="s">
        <v>1435</v>
      </c>
      <c r="E23" s="5"/>
    </row>
    <row r="24" spans="1:5">
      <c r="A24" s="28" t="s">
        <v>1451</v>
      </c>
      <c r="B24" s="5" t="s">
        <v>1452</v>
      </c>
      <c r="C24" s="5" t="s">
        <v>1453</v>
      </c>
      <c r="D24" s="5" t="s">
        <v>1402</v>
      </c>
      <c r="E24" s="5" t="s">
        <v>1454</v>
      </c>
    </row>
    <row r="25" spans="1:5">
      <c r="A25" s="28" t="s">
        <v>1455</v>
      </c>
      <c r="B25" s="5" t="s">
        <v>1456</v>
      </c>
      <c r="C25" s="5" t="s">
        <v>1457</v>
      </c>
      <c r="D25" s="5" t="s">
        <v>1435</v>
      </c>
      <c r="E25" s="5"/>
    </row>
    <row r="26" spans="1:5">
      <c r="A26" s="28" t="s">
        <v>1458</v>
      </c>
      <c r="B26" s="5" t="s">
        <v>1459</v>
      </c>
      <c r="C26" s="5" t="s">
        <v>1460</v>
      </c>
      <c r="D26" s="5" t="s">
        <v>1435</v>
      </c>
      <c r="E26" s="5" t="s">
        <v>1461</v>
      </c>
    </row>
    <row r="27" spans="1:5">
      <c r="A27" s="28" t="s">
        <v>1462</v>
      </c>
      <c r="B27" s="5" t="s">
        <v>1463</v>
      </c>
      <c r="C27" s="5" t="s">
        <v>1464</v>
      </c>
      <c r="D27" s="5" t="s">
        <v>1380</v>
      </c>
      <c r="E27" s="5"/>
    </row>
    <row r="28" spans="1:5">
      <c r="A28" s="28" t="s">
        <v>1465</v>
      </c>
      <c r="B28" s="5" t="s">
        <v>1466</v>
      </c>
      <c r="C28" s="5" t="s">
        <v>1467</v>
      </c>
      <c r="D28" s="5"/>
      <c r="E28" s="5" t="s">
        <v>1468</v>
      </c>
    </row>
    <row r="29" spans="1:5">
      <c r="A29" s="28" t="s">
        <v>1469</v>
      </c>
      <c r="B29" s="5" t="s">
        <v>1470</v>
      </c>
      <c r="C29" s="5" t="s">
        <v>1471</v>
      </c>
      <c r="D29" s="5"/>
      <c r="E2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>
      <selection activeCell="B16" sqref="B16"/>
    </sheetView>
  </sheetViews>
  <sheetFormatPr defaultRowHeight="14.25"/>
  <cols>
    <col min="1" max="1" width="26" customWidth="1"/>
    <col min="2" max="2" width="120" customWidth="1"/>
  </cols>
  <sheetData>
    <row r="1" spans="1:2" ht="18">
      <c r="A1" s="1" t="s">
        <v>1472</v>
      </c>
    </row>
    <row r="3" spans="1:2">
      <c r="A3" s="2" t="s">
        <v>1473</v>
      </c>
      <c r="B3" s="2"/>
    </row>
    <row r="4" spans="1:2">
      <c r="A4" s="44" t="s">
        <v>1474</v>
      </c>
      <c r="B4" s="4" t="s">
        <v>1475</v>
      </c>
    </row>
    <row r="5" spans="1:2">
      <c r="A5" s="44" t="s">
        <v>1476</v>
      </c>
      <c r="B5" s="4" t="s">
        <v>1477</v>
      </c>
    </row>
    <row r="6" spans="1:2">
      <c r="A6" s="44" t="s">
        <v>1478</v>
      </c>
      <c r="B6" s="4" t="s">
        <v>1479</v>
      </c>
    </row>
    <row r="7" spans="1:2" ht="25.5">
      <c r="A7" s="44" t="s">
        <v>1480</v>
      </c>
      <c r="B7" s="4" t="s">
        <v>1481</v>
      </c>
    </row>
    <row r="8" spans="1:2">
      <c r="A8" s="44" t="s">
        <v>1482</v>
      </c>
      <c r="B8" s="4" t="s">
        <v>1483</v>
      </c>
    </row>
    <row r="9" spans="1:2">
      <c r="A9" s="44" t="s">
        <v>1484</v>
      </c>
      <c r="B9" s="4" t="s">
        <v>1485</v>
      </c>
    </row>
    <row r="10" spans="1:2">
      <c r="A10" s="2" t="s">
        <v>1486</v>
      </c>
      <c r="B10" s="2"/>
    </row>
    <row r="11" spans="1:2">
      <c r="A11" s="44" t="s">
        <v>1487</v>
      </c>
      <c r="B11" s="4" t="s">
        <v>1488</v>
      </c>
    </row>
    <row r="12" spans="1:2">
      <c r="A12" s="44" t="s">
        <v>1489</v>
      </c>
      <c r="B12" s="4" t="s">
        <v>1490</v>
      </c>
    </row>
    <row r="13" spans="1:2">
      <c r="A13" s="44" t="s">
        <v>1491</v>
      </c>
      <c r="B13" s="4" t="s">
        <v>1492</v>
      </c>
    </row>
    <row r="14" spans="1:2">
      <c r="A14" s="44" t="s">
        <v>1493</v>
      </c>
      <c r="B14" s="4" t="s">
        <v>1494</v>
      </c>
    </row>
    <row r="15" spans="1:2">
      <c r="A15" s="2" t="s">
        <v>1495</v>
      </c>
      <c r="B15" s="2"/>
    </row>
    <row r="16" spans="1:2">
      <c r="A16" s="44" t="s">
        <v>1496</v>
      </c>
      <c r="B16" s="4" t="s">
        <v>1497</v>
      </c>
    </row>
    <row r="17" spans="1:2">
      <c r="A17" s="44" t="s">
        <v>1498</v>
      </c>
      <c r="B17" s="4" t="s">
        <v>1499</v>
      </c>
    </row>
    <row r="18" spans="1:2">
      <c r="A18" s="44" t="s">
        <v>1500</v>
      </c>
      <c r="B18" s="4" t="s">
        <v>1501</v>
      </c>
    </row>
    <row r="19" spans="1:2">
      <c r="A19" s="2" t="s">
        <v>1502</v>
      </c>
      <c r="B19" s="2"/>
    </row>
    <row r="20" spans="1:2">
      <c r="A20" s="44" t="s">
        <v>1503</v>
      </c>
      <c r="B20" s="4" t="s">
        <v>1504</v>
      </c>
    </row>
    <row r="21" spans="1:2">
      <c r="A21" s="44" t="s">
        <v>1505</v>
      </c>
      <c r="B21" s="4" t="s">
        <v>1506</v>
      </c>
    </row>
    <row r="22" spans="1:2">
      <c r="A22" s="44" t="s">
        <v>1507</v>
      </c>
      <c r="B22" s="4" t="s">
        <v>1508</v>
      </c>
    </row>
    <row r="23" spans="1:2">
      <c r="A23" s="44" t="s">
        <v>1509</v>
      </c>
      <c r="B23" s="4" t="s">
        <v>1510</v>
      </c>
    </row>
    <row r="24" spans="1:2">
      <c r="A24" s="44" t="s">
        <v>1511</v>
      </c>
      <c r="B24" s="4" t="s">
        <v>1512</v>
      </c>
    </row>
    <row r="26" spans="1:2">
      <c r="A26" s="2" t="s">
        <v>1513</v>
      </c>
      <c r="B26" s="2"/>
    </row>
    <row r="27" spans="1:2">
      <c r="A27" s="43" t="s">
        <v>84</v>
      </c>
      <c r="B27" s="30" t="s">
        <v>40</v>
      </c>
    </row>
    <row r="28" spans="1:2">
      <c r="A28" s="43" t="s">
        <v>1514</v>
      </c>
      <c r="B28" s="30" t="s">
        <v>1515</v>
      </c>
    </row>
    <row r="29" spans="1:2">
      <c r="A29" s="43" t="s">
        <v>582</v>
      </c>
      <c r="B29" s="30" t="s">
        <v>1516</v>
      </c>
    </row>
    <row r="30" spans="1:2">
      <c r="A30" s="43" t="s">
        <v>583</v>
      </c>
      <c r="B30" s="30" t="s">
        <v>1517</v>
      </c>
    </row>
    <row r="31" spans="1:2">
      <c r="A31" s="43" t="s">
        <v>85</v>
      </c>
      <c r="B31" s="30" t="s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Roadmap</vt:lpstr>
      <vt:lpstr>LeetCode</vt:lpstr>
      <vt:lpstr>NhatKy</vt:lpstr>
      <vt:lpstr>Slide</vt:lpstr>
      <vt:lpstr>Cpp_vs_Java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Đồng Văn</dc:creator>
  <cp:lastModifiedBy>Thế Đồng Văn</cp:lastModifiedBy>
  <dcterms:modified xsi:type="dcterms:W3CDTF">2026-10-05T15:46:52Z</dcterms:modified>
</cp:coreProperties>
</file>